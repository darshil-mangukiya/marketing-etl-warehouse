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d564db93d941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Fields" sheetId="1" r:id="R874471aff89341a5"/>
    <x:sheet xmlns:r="http://schemas.openxmlformats.org/officeDocument/2006/relationships" name="Warehouse Fields" sheetId="2" r:id="Rb0c18b99d7434036"/>
    <x:sheet xmlns:r="http://schemas.openxmlformats.org/officeDocument/2006/relationships" name="KPIs" sheetId="3" r:id="Ra0d0db2be5714069"/>
    <x:sheet xmlns:r="http://schemas.openxmlformats.org/officeDocument/2006/relationships" name="Dimensions" sheetId="4" r:id="R20f2ca7bd09d4785"/>
    <x:sheet xmlns:r="http://schemas.openxmlformats.org/officeDocument/2006/relationships" name="Governance - Ownership" sheetId="5" r:id="Reacc353157ad4c5f"/>
    <x:sheet xmlns:r="http://schemas.openxmlformats.org/officeDocument/2006/relationships" name="Coverage Summary" sheetId="6" r:id="Rc5e5efaec8eb4c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46B9A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7E0E8"/>
      </x:left>
      <x:right style="thin">
        <x:color rgb="FFD7E0E8"/>
      </x:right>
      <x:top style="thin">
        <x:color rgb="FFD7E0E8"/>
      </x:top>
      <x:bottom style="thin">
        <x:color rgb="FFD7E0E8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200" fontId="4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53ce81e3a54a36" /><Relationship Type="http://schemas.openxmlformats.org/officeDocument/2006/relationships/theme" Target="/xl/theme/theme1.xml" Id="R176c083d315b48e2" /><Relationship Type="http://schemas.openxmlformats.org/officeDocument/2006/relationships/sharedStrings" Target="/xl/sharedStrings.xml" Id="R37ec524f93054678" /><Relationship Type="http://schemas.openxmlformats.org/officeDocument/2006/relationships/worksheet" Target="/xl/worksheets/sheet1.xml" Id="R874471aff89341a5" /><Relationship Type="http://schemas.openxmlformats.org/officeDocument/2006/relationships/worksheet" Target="/xl/worksheets/sheet2.xml" Id="Rb0c18b99d7434036" /><Relationship Type="http://schemas.openxmlformats.org/officeDocument/2006/relationships/worksheet" Target="/xl/worksheets/sheet3.xml" Id="Ra0d0db2be5714069" /><Relationship Type="http://schemas.openxmlformats.org/officeDocument/2006/relationships/worksheet" Target="/xl/worksheets/sheet4.xml" Id="R20f2ca7bd09d4785" /><Relationship Type="http://schemas.openxmlformats.org/officeDocument/2006/relationships/worksheet" Target="/xl/worksheets/sheet5.xml" Id="Reacc353157ad4c5f" /><Relationship Type="http://schemas.openxmlformats.org/officeDocument/2006/relationships/worksheet" Target="/xl/worksheets/sheet6.xml" Id="Rc5e5efaec8eb4cc2" /></Relationships>
</file>

<file path=xl/tables/table1.xml><?xml version="1.0" encoding="utf-8"?>
<x:table xmlns:x="http://schemas.openxmlformats.org/spreadsheetml/2006/main" id="1" name="SourceFields" displayName="SourceFields" ref="A4:R46" headerRowCount="1" totalsRowCount="0" totalsRowShown="0">
  <x:tableColumns count="18">
    <x:tableColumn id="1" name="Field ID"/>
    <x:tableColumn id="2" name="Source System"/>
    <x:tableColumn id="3" name="Source Object / Table / File"/>
    <x:tableColumn id="4" name="Field Name"/>
    <x:tableColumn id="5" name="Business Definition"/>
    <x:tableColumn id="6" name="Technical Definition"/>
    <x:tableColumn id="7" name="Data Type"/>
    <x:tableColumn id="8" name="Nullable"/>
    <x:tableColumn id="9" name="Allowed Values / Domain"/>
    <x:tableColumn id="10" name="Example Value"/>
    <x:tableColumn id="11" name="Sensitive?"/>
    <x:tableColumn id="12" name="Data Classification"/>
    <x:tableColumn id="13" name="Owner / Persona"/>
    <x:tableColumn id="14" name="Refresh Frequency"/>
    <x:tableColumn id="15" name="Freshness Threshold"/>
    <x:tableColumn id="16" name="Validation Rule"/>
    <x:tableColumn id="17" name="Known Limitation"/>
    <x:tableColumn id="18" name="Execution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arehouseFields" displayName="WarehouseFields" ref="A4:M76" headerRowCount="1" totalsRowCount="0" totalsRowShown="0">
  <x:tableColumns count="13">
    <x:tableColumn id="1" name="Field ID"/>
    <x:tableColumn id="2" name="dbt Model"/>
    <x:tableColumn id="3" name="Field"/>
    <x:tableColumn id="4" name="Model Layer"/>
    <x:tableColumn id="5" name="Grain"/>
    <x:tableColumn id="6" name="Definition"/>
    <x:tableColumn id="7" name="Transformation / Business Rule"/>
    <x:tableColumn id="8" name="Upstream Source Field"/>
    <x:tableColumn id="9" name="Data Type"/>
    <x:tableColumn id="10" name="Nullable"/>
    <x:tableColumn id="11" name="Key Type"/>
    <x:tableColumn id="12" name="Quality Test"/>
    <x:tableColumn id="13" name="Downstream KPI / Repor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KPIDictionary" displayName="KPIDictionary" ref="A4:P26" headerRowCount="1" totalsRowCount="0" totalsRowShown="0">
  <x:tableColumns count="16">
    <x:tableColumn id="1" name="KPI ID"/>
    <x:tableColumn id="2" name="KPI"/>
    <x:tableColumn id="3" name="Business Definition"/>
    <x:tableColumn id="4" name="Formula"/>
    <x:tableColumn id="5" name="Numerator"/>
    <x:tableColumn id="6" name="Denominator"/>
    <x:tableColumn id="7" name="Grain"/>
    <x:tableColumn id="8" name="Time Grain"/>
    <x:tableColumn id="9" name="Allowed Filters"/>
    <x:tableColumn id="10" name="Source of Truth"/>
    <x:tableColumn id="11" name="dbt Model"/>
    <x:tableColumn id="12" name="DAX Measure"/>
    <x:tableColumn id="13" name="Dashboard Page"/>
    <x:tableColumn id="14" name="Owner / Persona"/>
    <x:tableColumn id="15" name="Validation"/>
    <x:tableColumn id="16" name="Known Limitation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mensions" displayName="Dimensions" ref="A4:I11" headerRowCount="1" totalsRowCount="0" totalsRowShown="0">
  <x:tableColumns count="9">
    <x:tableColumn id="1" name="Dimension"/>
    <x:tableColumn id="2" name="Attribute"/>
    <x:tableColumn id="3" name="Definition"/>
    <x:tableColumn id="4" name="Hierarchy"/>
    <x:tableColumn id="5" name="Key"/>
    <x:tableColumn id="6" name="SCD Behavior"/>
    <x:tableColumn id="7" name="Source"/>
    <x:tableColumn id="8" name="Used By"/>
    <x:tableColumn id="9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overnanceOwnership" displayName="GovernanceOwnership" ref="A4:J13" headerRowCount="1" totalsRowCount="0" totalsRowShown="0">
  <x:tableColumns count="10">
    <x:tableColumn id="1" name="Data Asset"/>
    <x:tableColumn id="2" name="Business Owner Persona"/>
    <x:tableColumn id="3" name="Technical Owner Persona"/>
    <x:tableColumn id="4" name="Sensitivity"/>
    <x:tableColumn id="5" name="Classification"/>
    <x:tableColumn id="6" name="Retention"/>
    <x:tableColumn id="7" name="Refresh Expectation"/>
    <x:tableColumn id="8" name="Quality Threshold"/>
    <x:tableColumn id="9" name="Certification Status"/>
    <x:tableColumn id="10" name="Source of Truth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ictionaryCoverage" displayName="DictionaryCoverage" ref="A4:C13" headerRowCount="1" totalsRowCount="0" totalsRowShown="0">
  <x:tableColumns count="3">
    <x:tableColumn id="1" name="Metric"/>
    <x:tableColumn id="2" name="Value"/>
    <x:tableColumn id="3" name="Expected / Interpre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4806856bdc438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f8d370a852644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398e169733c4f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12b62e5df45403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53f151aa0d74b0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054e266a19d432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8" hidden="0" customWidth="1"/>
    <x:col min="5" max="5" width="30" hidden="0" customWidth="1"/>
    <x:col min="6" max="6" width="30" hidden="0" customWidth="1"/>
    <x:col min="7" max="7" width="18" hidden="0" customWidth="1"/>
    <x:col min="8" max="8" width="13" hidden="0" customWidth="1"/>
    <x:col min="9" max="9" width="18" hidden="0" customWidth="1"/>
    <x:col min="10" max="10" width="18" hidden="0" customWidth="1"/>
    <x:col min="11" max="11" width="13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30" hidden="0" customWidth="1"/>
    <x:col min="17" max="17" width="30" hidden="0" customWidth="1"/>
    <x:col min="18" max="18" width="18" hidden="0" customWidth="1"/>
  </x:cols>
  <x:sheetData>
    <x:row r="1" ht="30" customHeight="1">
      <x:c r="A1" s="2" t="str">
        <x:v>Enterprise Data Dictionary — Source Fields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32" customHeight="1">
      <x:c r="A2" s="5" t="str">
        <x:v>Actual source objects and repository fields; execution status separates live, generated and fixture-tested paths.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</x:row>
    <x:row r="4" ht="32" customHeight="1">
      <x:c r="A4" s="9" t="str">
        <x:v>Field ID</x:v>
      </x:c>
      <x:c r="B4" s="9" t="str">
        <x:v>Source System</x:v>
      </x:c>
      <x:c r="C4" s="9" t="str">
        <x:v>Source Object / Table / File</x:v>
      </x:c>
      <x:c r="D4" s="9" t="str">
        <x:v>Field Name</x:v>
      </x:c>
      <x:c r="E4" s="9" t="str">
        <x:v>Business Definition</x:v>
      </x:c>
      <x:c r="F4" s="9" t="str">
        <x:v>Technical Definition</x:v>
      </x:c>
      <x:c r="G4" s="9" t="str">
        <x:v>Data Type</x:v>
      </x:c>
      <x:c r="H4" s="9" t="str">
        <x:v>Nullable</x:v>
      </x:c>
      <x:c r="I4" s="9" t="str">
        <x:v>Allowed Values / Domain</x:v>
      </x:c>
      <x:c r="J4" s="9" t="str">
        <x:v>Example Value</x:v>
      </x:c>
      <x:c r="K4" s="9" t="str">
        <x:v>Sensitive?</x:v>
      </x:c>
      <x:c r="L4" s="9" t="str">
        <x:v>Data Classification</x:v>
      </x:c>
      <x:c r="M4" s="9" t="str">
        <x:v>Owner / Persona</x:v>
      </x:c>
      <x:c r="N4" s="9" t="str">
        <x:v>Refresh Frequency</x:v>
      </x:c>
      <x:c r="O4" s="9" t="str">
        <x:v>Freshness Threshold</x:v>
      </x:c>
      <x:c r="P4" s="9" t="str">
        <x:v>Validation Rule</x:v>
      </x:c>
      <x:c r="Q4" s="9" t="str">
        <x:v>Known Limitation</x:v>
      </x:c>
      <x:c r="R4" s="9" t="str">
        <x:v>Execution Status</x:v>
      </x:c>
    </x:row>
    <x:row r="5" ht="38" customHeight="1">
      <x:c r="A5" s="12" t="str">
        <x:v>SRC-GADS-001</x:v>
      </x:c>
      <x:c r="B5" s="12" t="str">
        <x:v>Google Ads</x:v>
      </x:c>
      <x:c r="C5" s="12" t="str">
        <x:v>raw.google_ads</x:v>
      </x:c>
      <x:c r="D5" s="12" t="str">
        <x:v>event_date</x:v>
      </x:c>
      <x:c r="E5" s="12" t="str">
        <x:v>event date</x:v>
      </x:c>
      <x:c r="F5" s="12" t="str">
        <x:v>Repository field raw.google_ads.event_date</x:v>
      </x:c>
      <x:c r="G5" s="12" t="str">
        <x:v>DATE/TIMESTAMP</x:v>
      </x:c>
      <x:c r="H5" s="12" t="str">
        <x:v>Yes</x:v>
      </x:c>
      <x:c r="I5" s="12" t="str">
        <x:v>Repository contract/domain</x:v>
      </x:c>
      <x:c r="J5" s="12" t="str">
        <x:v>2026-08-19</x:v>
      </x:c>
      <x:c r="K5" s="12" t="str">
        <x:v>No</x:v>
      </x:c>
      <x:c r="L5" s="12" t="str">
        <x:v>Internal portfolio</x:v>
      </x:c>
      <x:c r="M5" s="12" t="str">
        <x:v>Performance Marketing Manager</x:v>
      </x:c>
      <x:c r="N5" s="12" t="str">
        <x:v>Daily</x:v>
      </x:c>
      <x:c r="O5" s="12" t="str">
        <x:v>36–48 hours</x:v>
      </x:c>
      <x:c r="P5" s="12" t="str">
        <x:v>Type/domain/business-rule validation</x:v>
      </x:c>
      <x:c r="Q5" s="12" t="str">
        <x:v>Portfolio-scale/generated unless GA4 live path</x:v>
      </x:c>
      <x:c r="R5" s="12" t="str">
        <x:v>GENERATED / FIXTURE TESTED / NOT LIVE AUTHORIZED</x:v>
      </x:c>
    </x:row>
    <x:row r="6" ht="38" customHeight="1">
      <x:c r="A6" s="12" t="str">
        <x:v>SRC-GADS-002</x:v>
      </x:c>
      <x:c r="B6" s="12" t="str">
        <x:v>Google Ads</x:v>
      </x:c>
      <x:c r="C6" s="12" t="str">
        <x:v>raw.google_ads</x:v>
      </x:c>
      <x:c r="D6" s="12" t="str">
        <x:v>campaign_id</x:v>
      </x:c>
      <x:c r="E6" s="12" t="str">
        <x:v>campaign id</x:v>
      </x:c>
      <x:c r="F6" s="12" t="str">
        <x:v>Repository field raw.google_ads.campaign_id</x:v>
      </x:c>
      <x:c r="G6" s="12" t="str">
        <x:v>STRING</x:v>
      </x:c>
      <x:c r="H6" s="12" t="str">
        <x:v>No</x:v>
      </x:c>
      <x:c r="I6" s="12" t="str">
        <x:v>Repository contract/domain</x:v>
      </x:c>
      <x:c r="J6" s="12" t="str">
        <x:v>portfolio_value</x:v>
      </x:c>
      <x:c r="K6" s="12" t="str">
        <x:v>No</x:v>
      </x:c>
      <x:c r="L6" s="12" t="str">
        <x:v>Internal portfolio</x:v>
      </x:c>
      <x:c r="M6" s="12" t="str">
        <x:v>Performance Marketing Manager</x:v>
      </x:c>
      <x:c r="N6" s="12" t="str">
        <x:v>Daily</x:v>
      </x:c>
      <x:c r="O6" s="12" t="str">
        <x:v>36–48 hours</x:v>
      </x:c>
      <x:c r="P6" s="12" t="str">
        <x:v>Not-null/key rule</x:v>
      </x:c>
      <x:c r="Q6" s="12" t="str">
        <x:v>Portfolio-scale/generated unless GA4 live path</x:v>
      </x:c>
      <x:c r="R6" s="12" t="str">
        <x:v>GENERATED / FIXTURE TESTED / NOT LIVE AUTHORIZED</x:v>
      </x:c>
    </x:row>
    <x:row r="7" ht="38" customHeight="1">
      <x:c r="A7" s="12" t="str">
        <x:v>SRC-GADS-003</x:v>
      </x:c>
      <x:c r="B7" s="12" t="str">
        <x:v>Google Ads</x:v>
      </x:c>
      <x:c r="C7" s="12" t="str">
        <x:v>raw.google_ads</x:v>
      </x:c>
      <x:c r="D7" s="12" t="str">
        <x:v>impressions</x:v>
      </x:c>
      <x:c r="E7" s="12" t="str">
        <x:v>impressions</x:v>
      </x:c>
      <x:c r="F7" s="12" t="str">
        <x:v>Repository field raw.google_ads.impressions</x:v>
      </x:c>
      <x:c r="G7" s="12" t="str">
        <x:v>NUMERIC</x:v>
      </x:c>
      <x:c r="H7" s="12" t="str">
        <x:v>Yes</x:v>
      </x:c>
      <x:c r="I7" s="12" t="str">
        <x:v>Repository contract/domain</x:v>
      </x:c>
      <x:c r="J7" s="12" t="n">
        <x:v>100</x:v>
      </x:c>
      <x:c r="K7" s="12" t="str">
        <x:v>No</x:v>
      </x:c>
      <x:c r="L7" s="12" t="str">
        <x:v>Internal portfolio</x:v>
      </x:c>
      <x:c r="M7" s="12" t="str">
        <x:v>Performance Marketing Manager</x:v>
      </x:c>
      <x:c r="N7" s="12" t="str">
        <x:v>Daily</x:v>
      </x:c>
      <x:c r="O7" s="12" t="str">
        <x:v>36–48 hours</x:v>
      </x:c>
      <x:c r="P7" s="12" t="str">
        <x:v>Type/domain/business-rule validation</x:v>
      </x:c>
      <x:c r="Q7" s="12" t="str">
        <x:v>Portfolio-scale/generated unless GA4 live path</x:v>
      </x:c>
      <x:c r="R7" s="12" t="str">
        <x:v>GENERATED / FIXTURE TESTED / NOT LIVE AUTHORIZED</x:v>
      </x:c>
    </x:row>
    <x:row r="8" ht="38" customHeight="1">
      <x:c r="A8" s="12" t="str">
        <x:v>SRC-GADS-004</x:v>
      </x:c>
      <x:c r="B8" s="12" t="str">
        <x:v>Google Ads</x:v>
      </x:c>
      <x:c r="C8" s="12" t="str">
        <x:v>raw.google_ads</x:v>
      </x:c>
      <x:c r="D8" s="12" t="str">
        <x:v>clicks</x:v>
      </x:c>
      <x:c r="E8" s="12" t="str">
        <x:v>clicks</x:v>
      </x:c>
      <x:c r="F8" s="12" t="str">
        <x:v>Repository field raw.google_ads.clicks</x:v>
      </x:c>
      <x:c r="G8" s="12" t="str">
        <x:v>NUMERIC</x:v>
      </x:c>
      <x:c r="H8" s="12" t="str">
        <x:v>Yes</x:v>
      </x:c>
      <x:c r="I8" s="12" t="str">
        <x:v>Repository contract/domain</x:v>
      </x:c>
      <x:c r="J8" s="12" t="n">
        <x:v>100</x:v>
      </x:c>
      <x:c r="K8" s="12" t="str">
        <x:v>No</x:v>
      </x:c>
      <x:c r="L8" s="12" t="str">
        <x:v>Internal portfolio</x:v>
      </x:c>
      <x:c r="M8" s="12" t="str">
        <x:v>Performance Marketing Manager</x:v>
      </x:c>
      <x:c r="N8" s="12" t="str">
        <x:v>Daily</x:v>
      </x:c>
      <x:c r="O8" s="12" t="str">
        <x:v>36–48 hours</x:v>
      </x:c>
      <x:c r="P8" s="12" t="str">
        <x:v>Type/domain/business-rule validation</x:v>
      </x:c>
      <x:c r="Q8" s="12" t="str">
        <x:v>Portfolio-scale/generated unless GA4 live path</x:v>
      </x:c>
      <x:c r="R8" s="12" t="str">
        <x:v>GENERATED / FIXTURE TESTED / NOT LIVE AUTHORIZED</x:v>
      </x:c>
    </x:row>
    <x:row r="9" ht="38" customHeight="1">
      <x:c r="A9" s="12" t="str">
        <x:v>SRC-GADS-005</x:v>
      </x:c>
      <x:c r="B9" s="12" t="str">
        <x:v>Google Ads</x:v>
      </x:c>
      <x:c r="C9" s="12" t="str">
        <x:v>raw.google_ads</x:v>
      </x:c>
      <x:c r="D9" s="12" t="str">
        <x:v>spend</x:v>
      </x:c>
      <x:c r="E9" s="12" t="str">
        <x:v>spend</x:v>
      </x:c>
      <x:c r="F9" s="12" t="str">
        <x:v>Repository field raw.google_ads.spend</x:v>
      </x:c>
      <x:c r="G9" s="12" t="str">
        <x:v>NUMERIC</x:v>
      </x:c>
      <x:c r="H9" s="12" t="str">
        <x:v>Yes</x:v>
      </x:c>
      <x:c r="I9" s="12" t="str">
        <x:v>Repository contract/domain</x:v>
      </x:c>
      <x:c r="J9" s="12" t="n">
        <x:v>100</x:v>
      </x:c>
      <x:c r="K9" s="12" t="str">
        <x:v>No</x:v>
      </x:c>
      <x:c r="L9" s="12" t="str">
        <x:v>Internal portfolio</x:v>
      </x:c>
      <x:c r="M9" s="12" t="str">
        <x:v>Performance Marketing Manager</x:v>
      </x:c>
      <x:c r="N9" s="12" t="str">
        <x:v>Daily</x:v>
      </x:c>
      <x:c r="O9" s="12" t="str">
        <x:v>36–48 hours</x:v>
      </x:c>
      <x:c r="P9" s="12" t="str">
        <x:v>Type/domain/business-rule validation</x:v>
      </x:c>
      <x:c r="Q9" s="12" t="str">
        <x:v>Portfolio-scale/generated unless GA4 live path</x:v>
      </x:c>
      <x:c r="R9" s="12" t="str">
        <x:v>GENERATED / FIXTURE TESTED / NOT LIVE AUTHORIZED</x:v>
      </x:c>
    </x:row>
    <x:row r="10" ht="38" customHeight="1">
      <x:c r="A10" s="12" t="str">
        <x:v>SRC-META-006</x:v>
      </x:c>
      <x:c r="B10" s="12" t="str">
        <x:v>Meta/Facebook Ads</x:v>
      </x:c>
      <x:c r="C10" s="12" t="str">
        <x:v>raw.facebook_ads</x:v>
      </x:c>
      <x:c r="D10" s="12" t="str">
        <x:v>event_date</x:v>
      </x:c>
      <x:c r="E10" s="12" t="str">
        <x:v>event date</x:v>
      </x:c>
      <x:c r="F10" s="12" t="str">
        <x:v>Repository field raw.facebook_ads.event_date</x:v>
      </x:c>
      <x:c r="G10" s="12" t="str">
        <x:v>DATE/TIMESTAMP</x:v>
      </x:c>
      <x:c r="H10" s="12" t="str">
        <x:v>Yes</x:v>
      </x:c>
      <x:c r="I10" s="12" t="str">
        <x:v>Repository contract/domain</x:v>
      </x:c>
      <x:c r="J10" s="12" t="str">
        <x:v>2026-08-19</x:v>
      </x:c>
      <x:c r="K10" s="12" t="str">
        <x:v>No</x:v>
      </x:c>
      <x:c r="L10" s="12" t="str">
        <x:v>Internal portfolio</x:v>
      </x:c>
      <x:c r="M10" s="12" t="str">
        <x:v>Performance Marketing Manager</x:v>
      </x:c>
      <x:c r="N10" s="12" t="str">
        <x:v>Daily</x:v>
      </x:c>
      <x:c r="O10" s="12" t="str">
        <x:v>36–48 hours</x:v>
      </x:c>
      <x:c r="P10" s="12" t="str">
        <x:v>Type/domain/business-rule validation</x:v>
      </x:c>
      <x:c r="Q10" s="12" t="str">
        <x:v>Portfolio-scale/generated unless GA4 live path</x:v>
      </x:c>
      <x:c r="R10" s="12" t="str">
        <x:v>GENERATED / FIXTURE TESTED / NOT LIVE AUTHORIZED</x:v>
      </x:c>
    </x:row>
    <x:row r="11" ht="38" customHeight="1">
      <x:c r="A11" s="12" t="str">
        <x:v>SRC-META-007</x:v>
      </x:c>
      <x:c r="B11" s="12" t="str">
        <x:v>Meta/Facebook Ads</x:v>
      </x:c>
      <x:c r="C11" s="12" t="str">
        <x:v>raw.facebook_ads</x:v>
      </x:c>
      <x:c r="D11" s="12" t="str">
        <x:v>campaign_id</x:v>
      </x:c>
      <x:c r="E11" s="12" t="str">
        <x:v>campaign id</x:v>
      </x:c>
      <x:c r="F11" s="12" t="str">
        <x:v>Repository field raw.facebook_ads.campaign_id</x:v>
      </x:c>
      <x:c r="G11" s="12" t="str">
        <x:v>STRING</x:v>
      </x:c>
      <x:c r="H11" s="12" t="str">
        <x:v>No</x:v>
      </x:c>
      <x:c r="I11" s="12" t="str">
        <x:v>Repository contract/domain</x:v>
      </x:c>
      <x:c r="J11" s="12" t="str">
        <x:v>portfolio_value</x:v>
      </x:c>
      <x:c r="K11" s="12" t="str">
        <x:v>No</x:v>
      </x:c>
      <x:c r="L11" s="12" t="str">
        <x:v>Internal portfolio</x:v>
      </x:c>
      <x:c r="M11" s="12" t="str">
        <x:v>Performance Marketing Manager</x:v>
      </x:c>
      <x:c r="N11" s="12" t="str">
        <x:v>Daily</x:v>
      </x:c>
      <x:c r="O11" s="12" t="str">
        <x:v>36–48 hours</x:v>
      </x:c>
      <x:c r="P11" s="12" t="str">
        <x:v>Not-null/key rule</x:v>
      </x:c>
      <x:c r="Q11" s="12" t="str">
        <x:v>Portfolio-scale/generated unless GA4 live path</x:v>
      </x:c>
      <x:c r="R11" s="12" t="str">
        <x:v>GENERATED / FIXTURE TESTED / NOT LIVE AUTHORIZED</x:v>
      </x:c>
    </x:row>
    <x:row r="12" ht="38" customHeight="1">
      <x:c r="A12" s="12" t="str">
        <x:v>SRC-META-008</x:v>
      </x:c>
      <x:c r="B12" s="12" t="str">
        <x:v>Meta/Facebook Ads</x:v>
      </x:c>
      <x:c r="C12" s="12" t="str">
        <x:v>raw.facebook_ads</x:v>
      </x:c>
      <x:c r="D12" s="12" t="str">
        <x:v>impressions</x:v>
      </x:c>
      <x:c r="E12" s="12" t="str">
        <x:v>impressions</x:v>
      </x:c>
      <x:c r="F12" s="12" t="str">
        <x:v>Repository field raw.facebook_ads.impressions</x:v>
      </x:c>
      <x:c r="G12" s="12" t="str">
        <x:v>NUMERIC</x:v>
      </x:c>
      <x:c r="H12" s="12" t="str">
        <x:v>Yes</x:v>
      </x:c>
      <x:c r="I12" s="12" t="str">
        <x:v>Repository contract/domain</x:v>
      </x:c>
      <x:c r="J12" s="12" t="n">
        <x:v>100</x:v>
      </x:c>
      <x:c r="K12" s="12" t="str">
        <x:v>No</x:v>
      </x:c>
      <x:c r="L12" s="12" t="str">
        <x:v>Internal portfolio</x:v>
      </x:c>
      <x:c r="M12" s="12" t="str">
        <x:v>Performance Marketing Manager</x:v>
      </x:c>
      <x:c r="N12" s="12" t="str">
        <x:v>Daily</x:v>
      </x:c>
      <x:c r="O12" s="12" t="str">
        <x:v>36–48 hours</x:v>
      </x:c>
      <x:c r="P12" s="12" t="str">
        <x:v>Type/domain/business-rule validation</x:v>
      </x:c>
      <x:c r="Q12" s="12" t="str">
        <x:v>Portfolio-scale/generated unless GA4 live path</x:v>
      </x:c>
      <x:c r="R12" s="12" t="str">
        <x:v>GENERATED / FIXTURE TESTED / NOT LIVE AUTHORIZED</x:v>
      </x:c>
    </x:row>
    <x:row r="13" ht="38" customHeight="1">
      <x:c r="A13" s="12" t="str">
        <x:v>SRC-META-009</x:v>
      </x:c>
      <x:c r="B13" s="12" t="str">
        <x:v>Meta/Facebook Ads</x:v>
      </x:c>
      <x:c r="C13" s="12" t="str">
        <x:v>raw.facebook_ads</x:v>
      </x:c>
      <x:c r="D13" s="12" t="str">
        <x:v>clicks</x:v>
      </x:c>
      <x:c r="E13" s="12" t="str">
        <x:v>clicks</x:v>
      </x:c>
      <x:c r="F13" s="12" t="str">
        <x:v>Repository field raw.facebook_ads.clicks</x:v>
      </x:c>
      <x:c r="G13" s="12" t="str">
        <x:v>NUMERIC</x:v>
      </x:c>
      <x:c r="H13" s="12" t="str">
        <x:v>Yes</x:v>
      </x:c>
      <x:c r="I13" s="12" t="str">
        <x:v>Repository contract/domain</x:v>
      </x:c>
      <x:c r="J13" s="12" t="n">
        <x:v>100</x:v>
      </x:c>
      <x:c r="K13" s="12" t="str">
        <x:v>No</x:v>
      </x:c>
      <x:c r="L13" s="12" t="str">
        <x:v>Internal portfolio</x:v>
      </x:c>
      <x:c r="M13" s="12" t="str">
        <x:v>Performance Marketing Manager</x:v>
      </x:c>
      <x:c r="N13" s="12" t="str">
        <x:v>Daily</x:v>
      </x:c>
      <x:c r="O13" s="12" t="str">
        <x:v>36–48 hours</x:v>
      </x:c>
      <x:c r="P13" s="12" t="str">
        <x:v>Type/domain/business-rule validation</x:v>
      </x:c>
      <x:c r="Q13" s="12" t="str">
        <x:v>Portfolio-scale/generated unless GA4 live path</x:v>
      </x:c>
      <x:c r="R13" s="12" t="str">
        <x:v>GENERATED / FIXTURE TESTED / NOT LIVE AUTHORIZED</x:v>
      </x:c>
    </x:row>
    <x:row r="14" ht="38" customHeight="1">
      <x:c r="A14" s="12" t="str">
        <x:v>SRC-META-010</x:v>
      </x:c>
      <x:c r="B14" s="12" t="str">
        <x:v>Meta/Facebook Ads</x:v>
      </x:c>
      <x:c r="C14" s="12" t="str">
        <x:v>raw.facebook_ads</x:v>
      </x:c>
      <x:c r="D14" s="12" t="str">
        <x:v>spend</x:v>
      </x:c>
      <x:c r="E14" s="12" t="str">
        <x:v>spend</x:v>
      </x:c>
      <x:c r="F14" s="12" t="str">
        <x:v>Repository field raw.facebook_ads.spend</x:v>
      </x:c>
      <x:c r="G14" s="12" t="str">
        <x:v>NUMERIC</x:v>
      </x:c>
      <x:c r="H14" s="12" t="str">
        <x:v>Yes</x:v>
      </x:c>
      <x:c r="I14" s="12" t="str">
        <x:v>Repository contract/domain</x:v>
      </x:c>
      <x:c r="J14" s="12" t="n">
        <x:v>100</x:v>
      </x:c>
      <x:c r="K14" s="12" t="str">
        <x:v>No</x:v>
      </x:c>
      <x:c r="L14" s="12" t="str">
        <x:v>Internal portfolio</x:v>
      </x:c>
      <x:c r="M14" s="12" t="str">
        <x:v>Performance Marketing Manager</x:v>
      </x:c>
      <x:c r="N14" s="12" t="str">
        <x:v>Daily</x:v>
      </x:c>
      <x:c r="O14" s="12" t="str">
        <x:v>36–48 hours</x:v>
      </x:c>
      <x:c r="P14" s="12" t="str">
        <x:v>Type/domain/business-rule validation</x:v>
      </x:c>
      <x:c r="Q14" s="12" t="str">
        <x:v>Portfolio-scale/generated unless GA4 live path</x:v>
      </x:c>
      <x:c r="R14" s="12" t="str">
        <x:v>GENERATED / FIXTURE TESTED / NOT LIVE AUTHORIZED</x:v>
      </x:c>
    </x:row>
    <x:row r="15" ht="38" customHeight="1">
      <x:c r="A15" s="12" t="str">
        <x:v>SRC-TIK-011</x:v>
      </x:c>
      <x:c r="B15" s="12" t="str">
        <x:v>TikTok Ads</x:v>
      </x:c>
      <x:c r="C15" s="12" t="str">
        <x:v>raw.tiktok_ads</x:v>
      </x:c>
      <x:c r="D15" s="12" t="str">
        <x:v>event_date</x:v>
      </x:c>
      <x:c r="E15" s="12" t="str">
        <x:v>event date</x:v>
      </x:c>
      <x:c r="F15" s="12" t="str">
        <x:v>Repository field raw.tiktok_ads.event_date</x:v>
      </x:c>
      <x:c r="G15" s="12" t="str">
        <x:v>DATE/TIMESTAMP</x:v>
      </x:c>
      <x:c r="H15" s="12" t="str">
        <x:v>Yes</x:v>
      </x:c>
      <x:c r="I15" s="12" t="str">
        <x:v>Repository contract/domain</x:v>
      </x:c>
      <x:c r="J15" s="12" t="str">
        <x:v>2026-08-19</x:v>
      </x:c>
      <x:c r="K15" s="12" t="str">
        <x:v>No</x:v>
      </x:c>
      <x:c r="L15" s="12" t="str">
        <x:v>Internal portfolio</x:v>
      </x:c>
      <x:c r="M15" s="12" t="str">
        <x:v>Performance Marketing Manager</x:v>
      </x:c>
      <x:c r="N15" s="12" t="str">
        <x:v>Daily</x:v>
      </x:c>
      <x:c r="O15" s="12" t="str">
        <x:v>36–48 hours</x:v>
      </x:c>
      <x:c r="P15" s="12" t="str">
        <x:v>Type/domain/business-rule validation</x:v>
      </x:c>
      <x:c r="Q15" s="12" t="str">
        <x:v>Portfolio-scale/generated unless GA4 live path</x:v>
      </x:c>
      <x:c r="R15" s="12" t="str">
        <x:v>GENERATED / FIXTURE TESTED / NOT LIVE AUTHORIZED</x:v>
      </x:c>
    </x:row>
    <x:row r="16" ht="38" customHeight="1">
      <x:c r="A16" s="12" t="str">
        <x:v>SRC-TIK-012</x:v>
      </x:c>
      <x:c r="B16" s="12" t="str">
        <x:v>TikTok Ads</x:v>
      </x:c>
      <x:c r="C16" s="12" t="str">
        <x:v>raw.tiktok_ads</x:v>
      </x:c>
      <x:c r="D16" s="12" t="str">
        <x:v>campaign_id</x:v>
      </x:c>
      <x:c r="E16" s="12" t="str">
        <x:v>campaign id</x:v>
      </x:c>
      <x:c r="F16" s="12" t="str">
        <x:v>Repository field raw.tiktok_ads.campaign_id</x:v>
      </x:c>
      <x:c r="G16" s="12" t="str">
        <x:v>STRING</x:v>
      </x:c>
      <x:c r="H16" s="12" t="str">
        <x:v>No</x:v>
      </x:c>
      <x:c r="I16" s="12" t="str">
        <x:v>Repository contract/domain</x:v>
      </x:c>
      <x:c r="J16" s="12" t="str">
        <x:v>portfolio_value</x:v>
      </x:c>
      <x:c r="K16" s="12" t="str">
        <x:v>No</x:v>
      </x:c>
      <x:c r="L16" s="12" t="str">
        <x:v>Internal portfolio</x:v>
      </x:c>
      <x:c r="M16" s="12" t="str">
        <x:v>Performance Marketing Manager</x:v>
      </x:c>
      <x:c r="N16" s="12" t="str">
        <x:v>Daily</x:v>
      </x:c>
      <x:c r="O16" s="12" t="str">
        <x:v>36–48 hours</x:v>
      </x:c>
      <x:c r="P16" s="12" t="str">
        <x:v>Not-null/key rule</x:v>
      </x:c>
      <x:c r="Q16" s="12" t="str">
        <x:v>Portfolio-scale/generated unless GA4 live path</x:v>
      </x:c>
      <x:c r="R16" s="12" t="str">
        <x:v>GENERATED / FIXTURE TESTED / NOT LIVE AUTHORIZED</x:v>
      </x:c>
    </x:row>
    <x:row r="17" ht="38" customHeight="1">
      <x:c r="A17" s="12" t="str">
        <x:v>SRC-TIK-013</x:v>
      </x:c>
      <x:c r="B17" s="12" t="str">
        <x:v>TikTok Ads</x:v>
      </x:c>
      <x:c r="C17" s="12" t="str">
        <x:v>raw.tiktok_ads</x:v>
      </x:c>
      <x:c r="D17" s="12" t="str">
        <x:v>video_views</x:v>
      </x:c>
      <x:c r="E17" s="12" t="str">
        <x:v>video views</x:v>
      </x:c>
      <x:c r="F17" s="12" t="str">
        <x:v>Repository field raw.tiktok_ads.video_views</x:v>
      </x:c>
      <x:c r="G17" s="12" t="str">
        <x:v>NUMERIC</x:v>
      </x:c>
      <x:c r="H17" s="12" t="str">
        <x:v>No</x:v>
      </x:c>
      <x:c r="I17" s="12" t="str">
        <x:v>Repository contract/domain</x:v>
      </x:c>
      <x:c r="J17" s="12" t="n">
        <x:v>100</x:v>
      </x:c>
      <x:c r="K17" s="12" t="str">
        <x:v>No</x:v>
      </x:c>
      <x:c r="L17" s="12" t="str">
        <x:v>Internal portfolio</x:v>
      </x:c>
      <x:c r="M17" s="12" t="str">
        <x:v>Performance Marketing Manager</x:v>
      </x:c>
      <x:c r="N17" s="12" t="str">
        <x:v>Daily</x:v>
      </x:c>
      <x:c r="O17" s="12" t="str">
        <x:v>36–48 hours</x:v>
      </x:c>
      <x:c r="P17" s="12" t="str">
        <x:v>Not-null/key rule</x:v>
      </x:c>
      <x:c r="Q17" s="12" t="str">
        <x:v>Portfolio-scale/generated unless GA4 live path</x:v>
      </x:c>
      <x:c r="R17" s="12" t="str">
        <x:v>GENERATED / FIXTURE TESTED / NOT LIVE AUTHORIZED</x:v>
      </x:c>
    </x:row>
    <x:row r="18" ht="38" customHeight="1">
      <x:c r="A18" s="12" t="str">
        <x:v>SRC-TIK-014</x:v>
      </x:c>
      <x:c r="B18" s="12" t="str">
        <x:v>TikTok Ads</x:v>
      </x:c>
      <x:c r="C18" s="12" t="str">
        <x:v>raw.tiktok_ads</x:v>
      </x:c>
      <x:c r="D18" s="12" t="str">
        <x:v>clicks</x:v>
      </x:c>
      <x:c r="E18" s="12" t="str">
        <x:v>clicks</x:v>
      </x:c>
      <x:c r="F18" s="12" t="str">
        <x:v>Repository field raw.tiktok_ads.clicks</x:v>
      </x:c>
      <x:c r="G18" s="12" t="str">
        <x:v>NUMERIC</x:v>
      </x:c>
      <x:c r="H18" s="12" t="str">
        <x:v>Yes</x:v>
      </x:c>
      <x:c r="I18" s="12" t="str">
        <x:v>Repository contract/domain</x:v>
      </x:c>
      <x:c r="J18" s="12" t="n">
        <x:v>100</x:v>
      </x:c>
      <x:c r="K18" s="12" t="str">
        <x:v>No</x:v>
      </x:c>
      <x:c r="L18" s="12" t="str">
        <x:v>Internal portfolio</x:v>
      </x:c>
      <x:c r="M18" s="12" t="str">
        <x:v>Performance Marketing Manager</x:v>
      </x:c>
      <x:c r="N18" s="12" t="str">
        <x:v>Daily</x:v>
      </x:c>
      <x:c r="O18" s="12" t="str">
        <x:v>36–48 hours</x:v>
      </x:c>
      <x:c r="P18" s="12" t="str">
        <x:v>Type/domain/business-rule validation</x:v>
      </x:c>
      <x:c r="Q18" s="12" t="str">
        <x:v>Portfolio-scale/generated unless GA4 live path</x:v>
      </x:c>
      <x:c r="R18" s="12" t="str">
        <x:v>GENERATED / FIXTURE TESTED / NOT LIVE AUTHORIZED</x:v>
      </x:c>
    </x:row>
    <x:row r="19" ht="38" customHeight="1">
      <x:c r="A19" s="12" t="str">
        <x:v>SRC-TIK-015</x:v>
      </x:c>
      <x:c r="B19" s="12" t="str">
        <x:v>TikTok Ads</x:v>
      </x:c>
      <x:c r="C19" s="12" t="str">
        <x:v>raw.tiktok_ads</x:v>
      </x:c>
      <x:c r="D19" s="12" t="str">
        <x:v>spend</x:v>
      </x:c>
      <x:c r="E19" s="12" t="str">
        <x:v>spend</x:v>
      </x:c>
      <x:c r="F19" s="12" t="str">
        <x:v>Repository field raw.tiktok_ads.spend</x:v>
      </x:c>
      <x:c r="G19" s="12" t="str">
        <x:v>NUMERIC</x:v>
      </x:c>
      <x:c r="H19" s="12" t="str">
        <x:v>Yes</x:v>
      </x:c>
      <x:c r="I19" s="12" t="str">
        <x:v>Repository contract/domain</x:v>
      </x:c>
      <x:c r="J19" s="12" t="n">
        <x:v>100</x:v>
      </x:c>
      <x:c r="K19" s="12" t="str">
        <x:v>No</x:v>
      </x:c>
      <x:c r="L19" s="12" t="str">
        <x:v>Internal portfolio</x:v>
      </x:c>
      <x:c r="M19" s="12" t="str">
        <x:v>Performance Marketing Manager</x:v>
      </x:c>
      <x:c r="N19" s="12" t="str">
        <x:v>Daily</x:v>
      </x:c>
      <x:c r="O19" s="12" t="str">
        <x:v>36–48 hours</x:v>
      </x:c>
      <x:c r="P19" s="12" t="str">
        <x:v>Type/domain/business-rule validation</x:v>
      </x:c>
      <x:c r="Q19" s="12" t="str">
        <x:v>Portfolio-scale/generated unless GA4 live path</x:v>
      </x:c>
      <x:c r="R19" s="12" t="str">
        <x:v>GENERATED / FIXTURE TESTED / NOT LIVE AUTHORIZED</x:v>
      </x:c>
    </x:row>
    <x:row r="20" ht="38" customHeight="1">
      <x:c r="A20" s="12" t="str">
        <x:v>SRC-GA4-016</x:v>
      </x:c>
      <x:c r="B20" s="12" t="str">
        <x:v>GA4</x:v>
      </x:c>
      <x:c r="C20" s="12" t="str">
        <x:v>analytics_550433518.events_*</x:v>
      </x:c>
      <x:c r="D20" s="12" t="str">
        <x:v>event_date</x:v>
      </x:c>
      <x:c r="E20" s="12" t="str">
        <x:v>event date</x:v>
      </x:c>
      <x:c r="F20" s="12" t="str">
        <x:v>Repository field analytics_550433518.events_*.event_date</x:v>
      </x:c>
      <x:c r="G20" s="12" t="str">
        <x:v>DATE/TIMESTAMP</x:v>
      </x:c>
      <x:c r="H20" s="12" t="str">
        <x:v>Yes</x:v>
      </x:c>
      <x:c r="I20" s="12" t="str">
        <x:v>Repository contract/domain</x:v>
      </x:c>
      <x:c r="J20" s="12" t="str">
        <x:v>2026-08-19</x:v>
      </x:c>
      <x:c r="K20" s="12" t="str">
        <x:v>No</x:v>
      </x:c>
      <x:c r="L20" s="12" t="str">
        <x:v>Internal portfolio</x:v>
      </x:c>
      <x:c r="M20" s="12" t="str">
        <x:v>Marketing Analytics Manager</x:v>
      </x:c>
      <x:c r="N20" s="12" t="str">
        <x:v>Daily</x:v>
      </x:c>
      <x:c r="O20" s="12" t="str">
        <x:v>36–48 hours</x:v>
      </x:c>
      <x:c r="P20" s="12" t="str">
        <x:v>Type/domain/business-rule validation</x:v>
      </x:c>
      <x:c r="Q20" s="12" t="str">
        <x:v>Portfolio-scale/generated unless GA4 live path</x:v>
      </x:c>
      <x:c r="R20" s="12" t="str">
        <x:v>LIVE VERIFIED + GENERATED LOCAL</x:v>
      </x:c>
    </x:row>
    <x:row r="21" ht="38" customHeight="1">
      <x:c r="A21" s="12" t="str">
        <x:v>SRC-GA4-017</x:v>
      </x:c>
      <x:c r="B21" s="12" t="str">
        <x:v>GA4</x:v>
      </x:c>
      <x:c r="C21" s="12" t="str">
        <x:v>analytics_550433518.events_*</x:v>
      </x:c>
      <x:c r="D21" s="12" t="str">
        <x:v>event_timestamp</x:v>
      </x:c>
      <x:c r="E21" s="12" t="str">
        <x:v>event timestamp</x:v>
      </x:c>
      <x:c r="F21" s="12" t="str">
        <x:v>Repository field analytics_550433518.events_*.event_timestamp</x:v>
      </x:c>
      <x:c r="G21" s="12" t="str">
        <x:v>TIMESTAMP</x:v>
      </x:c>
      <x:c r="H21" s="12" t="str">
        <x:v>Yes</x:v>
      </x:c>
      <x:c r="I21" s="12" t="str">
        <x:v>Repository contract/domain</x:v>
      </x:c>
      <x:c r="J21" s="12" t="str">
        <x:v>portfolio_value</x:v>
      </x:c>
      <x:c r="K21" s="12" t="str">
        <x:v>No</x:v>
      </x:c>
      <x:c r="L21" s="12" t="str">
        <x:v>Internal portfolio</x:v>
      </x:c>
      <x:c r="M21" s="12" t="str">
        <x:v>Marketing Analytics Manager</x:v>
      </x:c>
      <x:c r="N21" s="12" t="str">
        <x:v>Daily</x:v>
      </x:c>
      <x:c r="O21" s="12" t="str">
        <x:v>36–48 hours</x:v>
      </x:c>
      <x:c r="P21" s="12" t="str">
        <x:v>Type/domain/business-rule validation</x:v>
      </x:c>
      <x:c r="Q21" s="12" t="str">
        <x:v>Portfolio-scale/generated unless GA4 live path</x:v>
      </x:c>
      <x:c r="R21" s="12" t="str">
        <x:v>LIVE VERIFIED + GENERATED LOCAL</x:v>
      </x:c>
    </x:row>
    <x:row r="22" ht="38" customHeight="1">
      <x:c r="A22" s="12" t="str">
        <x:v>SRC-GA4-018</x:v>
      </x:c>
      <x:c r="B22" s="12" t="str">
        <x:v>GA4</x:v>
      </x:c>
      <x:c r="C22" s="12" t="str">
        <x:v>analytics_550433518.events_*</x:v>
      </x:c>
      <x:c r="D22" s="12" t="str">
        <x:v>event_name</x:v>
      </x:c>
      <x:c r="E22" s="12" t="str">
        <x:v>event name</x:v>
      </x:c>
      <x:c r="F22" s="12" t="str">
        <x:v>Repository field analytics_550433518.events_*.event_name</x:v>
      </x:c>
      <x:c r="G22" s="12" t="str">
        <x:v>STRING</x:v>
      </x:c>
      <x:c r="H22" s="12" t="str">
        <x:v>Yes</x:v>
      </x:c>
      <x:c r="I22" s="12" t="str">
        <x:v>GA4 governed event names</x:v>
      </x:c>
      <x:c r="J22" s="12" t="str">
        <x:v>portfolio_value</x:v>
      </x:c>
      <x:c r="K22" s="12" t="str">
        <x:v>No</x:v>
      </x:c>
      <x:c r="L22" s="12" t="str">
        <x:v>Internal portfolio</x:v>
      </x:c>
      <x:c r="M22" s="12" t="str">
        <x:v>Marketing Analytics Manager</x:v>
      </x:c>
      <x:c r="N22" s="12" t="str">
        <x:v>Daily</x:v>
      </x:c>
      <x:c r="O22" s="12" t="str">
        <x:v>36–48 hours</x:v>
      </x:c>
      <x:c r="P22" s="12" t="str">
        <x:v>Type/domain/business-rule validation</x:v>
      </x:c>
      <x:c r="Q22" s="12" t="str">
        <x:v>Portfolio-scale/generated unless GA4 live path</x:v>
      </x:c>
      <x:c r="R22" s="12" t="str">
        <x:v>LIVE VERIFIED + GENERATED LOCAL</x:v>
      </x:c>
    </x:row>
    <x:row r="23" ht="38" customHeight="1">
      <x:c r="A23" s="12" t="str">
        <x:v>SRC-GA4-019</x:v>
      </x:c>
      <x:c r="B23" s="12" t="str">
        <x:v>GA4</x:v>
      </x:c>
      <x:c r="C23" s="12" t="str">
        <x:v>analytics_550433518.events_*</x:v>
      </x:c>
      <x:c r="D23" s="12" t="str">
        <x:v>user_pseudo_id</x:v>
      </x:c>
      <x:c r="E23" s="12" t="str">
        <x:v>user pseudo id</x:v>
      </x:c>
      <x:c r="F23" s="12" t="str">
        <x:v>Repository field analytics_550433518.events_*.user_pseudo_id</x:v>
      </x:c>
      <x:c r="G23" s="12" t="str">
        <x:v>STRING</x:v>
      </x:c>
      <x:c r="H23" s="12" t="str">
        <x:v>No</x:v>
      </x:c>
      <x:c r="I23" s="12" t="str">
        <x:v>Repository contract/domain</x:v>
      </x:c>
      <x:c r="J23" s="12" t="str">
        <x:v>portfolio_value</x:v>
      </x:c>
      <x:c r="K23" s="12" t="str">
        <x:v>Yes</x:v>
      </x:c>
      <x:c r="L23" s="12" t="str">
        <x:v>Pseudonymous/Synthetic identifier</x:v>
      </x:c>
      <x:c r="M23" s="12" t="str">
        <x:v>Marketing Analytics Manager</x:v>
      </x:c>
      <x:c r="N23" s="12" t="str">
        <x:v>Daily</x:v>
      </x:c>
      <x:c r="O23" s="12" t="str">
        <x:v>36–48 hours</x:v>
      </x:c>
      <x:c r="P23" s="12" t="str">
        <x:v>Not-null/key rule</x:v>
      </x:c>
      <x:c r="Q23" s="12" t="str">
        <x:v>Portfolio-scale/generated unless GA4 live path</x:v>
      </x:c>
      <x:c r="R23" s="12" t="str">
        <x:v>LIVE VERIFIED + GENERATED LOCAL</x:v>
      </x:c>
    </x:row>
    <x:row r="24" ht="38" customHeight="1">
      <x:c r="A24" s="12" t="str">
        <x:v>SRC-GA4-020</x:v>
      </x:c>
      <x:c r="B24" s="12" t="str">
        <x:v>GA4</x:v>
      </x:c>
      <x:c r="C24" s="12" t="str">
        <x:v>analytics_550433518.events_*</x:v>
      </x:c>
      <x:c r="D24" s="12" t="str">
        <x:v>event_params</x:v>
      </x:c>
      <x:c r="E24" s="12" t="str">
        <x:v>event params</x:v>
      </x:c>
      <x:c r="F24" s="12" t="str">
        <x:v>Repository field analytics_550433518.events_*.event_params</x:v>
      </x:c>
      <x:c r="G24" s="12" t="str">
        <x:v>REPEATED RECORD</x:v>
      </x:c>
      <x:c r="H24" s="12" t="str">
        <x:v>Yes</x:v>
      </x:c>
      <x:c r="I24" s="12" t="str">
        <x:v>Repository contract/domain</x:v>
      </x:c>
      <x:c r="J24" s="12" t="str">
        <x:v>portfolio_value</x:v>
      </x:c>
      <x:c r="K24" s="12" t="str">
        <x:v>No</x:v>
      </x:c>
      <x:c r="L24" s="12" t="str">
        <x:v>Internal portfolio</x:v>
      </x:c>
      <x:c r="M24" s="12" t="str">
        <x:v>Marketing Analytics Manager</x:v>
      </x:c>
      <x:c r="N24" s="12" t="str">
        <x:v>Daily</x:v>
      </x:c>
      <x:c r="O24" s="12" t="str">
        <x:v>36–48 hours</x:v>
      </x:c>
      <x:c r="P24" s="12" t="str">
        <x:v>Type/domain/business-rule validation</x:v>
      </x:c>
      <x:c r="Q24" s="12" t="str">
        <x:v>Portfolio-scale/generated unless GA4 live path</x:v>
      </x:c>
      <x:c r="R24" s="12" t="str">
        <x:v>LIVE VERIFIED + GENERATED LOCAL</x:v>
      </x:c>
    </x:row>
    <x:row r="25" ht="38" customHeight="1">
      <x:c r="A25" s="12" t="str">
        <x:v>SRC-GA4-021</x:v>
      </x:c>
      <x:c r="B25" s="12" t="str">
        <x:v>GA4</x:v>
      </x:c>
      <x:c r="C25" s="12" t="str">
        <x:v>analytics_550433518.events_*</x:v>
      </x:c>
      <x:c r="D25" s="12" t="str">
        <x:v>items</x:v>
      </x:c>
      <x:c r="E25" s="12" t="str">
        <x:v>items</x:v>
      </x:c>
      <x:c r="F25" s="12" t="str">
        <x:v>Repository field analytics_550433518.events_*.items</x:v>
      </x:c>
      <x:c r="G25" s="12" t="str">
        <x:v>REPEATED RECORD</x:v>
      </x:c>
      <x:c r="H25" s="12" t="str">
        <x:v>Yes</x:v>
      </x:c>
      <x:c r="I25" s="12" t="str">
        <x:v>Repository contract/domain</x:v>
      </x:c>
      <x:c r="J25" s="12" t="str">
        <x:v>portfolio_value</x:v>
      </x:c>
      <x:c r="K25" s="12" t="str">
        <x:v>No</x:v>
      </x:c>
      <x:c r="L25" s="12" t="str">
        <x:v>Internal portfolio</x:v>
      </x:c>
      <x:c r="M25" s="12" t="str">
        <x:v>Marketing Analytics Manager</x:v>
      </x:c>
      <x:c r="N25" s="12" t="str">
        <x:v>Daily</x:v>
      </x:c>
      <x:c r="O25" s="12" t="str">
        <x:v>36–48 hours</x:v>
      </x:c>
      <x:c r="P25" s="12" t="str">
        <x:v>Type/domain/business-rule validation</x:v>
      </x:c>
      <x:c r="Q25" s="12" t="str">
        <x:v>Portfolio-scale/generated unless GA4 live path</x:v>
      </x:c>
      <x:c r="R25" s="12" t="str">
        <x:v>LIVE VERIFIED + GENERATED LOCAL</x:v>
      </x:c>
    </x:row>
    <x:row r="26" ht="38" customHeight="1">
      <x:c r="A26" s="12" t="str">
        <x:v>SRC-CRM-022</x:v>
      </x:c>
      <x:c r="B26" s="12" t="str">
        <x:v>CRM</x:v>
      </x:c>
      <x:c r="C26" s="12" t="str">
        <x:v>raw.crm_leads</x:v>
      </x:c>
      <x:c r="D26" s="12" t="str">
        <x:v>lead_id</x:v>
      </x:c>
      <x:c r="E26" s="12" t="str">
        <x:v>lead id</x:v>
      </x:c>
      <x:c r="F26" s="12" t="str">
        <x:v>Repository field raw.crm_leads.lead_id</x:v>
      </x:c>
      <x:c r="G26" s="12" t="str">
        <x:v>STRING</x:v>
      </x:c>
      <x:c r="H26" s="12" t="str">
        <x:v>No</x:v>
      </x:c>
      <x:c r="I26" s="12" t="str">
        <x:v>Repository contract/domain</x:v>
      </x:c>
      <x:c r="J26" s="12" t="str">
        <x:v>portfolio_value</x:v>
      </x:c>
      <x:c r="K26" s="12" t="str">
        <x:v>Yes</x:v>
      </x:c>
      <x:c r="L26" s="12" t="str">
        <x:v>Pseudonymous/Synthetic identifier</x:v>
      </x:c>
      <x:c r="M26" s="12" t="str">
        <x:v>Sales Operations Manager</x:v>
      </x:c>
      <x:c r="N26" s="12" t="str">
        <x:v>Daily</x:v>
      </x:c>
      <x:c r="O26" s="12" t="str">
        <x:v>36–48 hours</x:v>
      </x:c>
      <x:c r="P26" s="12" t="str">
        <x:v>Not-null/key rule</x:v>
      </x:c>
      <x:c r="Q26" s="12" t="str">
        <x:v>Portfolio-scale/generated unless GA4 live path</x:v>
      </x:c>
      <x:c r="R26" s="12" t="str">
        <x:v>GENERATED</x:v>
      </x:c>
    </x:row>
    <x:row r="27" ht="38" customHeight="1">
      <x:c r="A27" s="12" t="str">
        <x:v>SRC-CRM-023</x:v>
      </x:c>
      <x:c r="B27" s="12" t="str">
        <x:v>CRM</x:v>
      </x:c>
      <x:c r="C27" s="12" t="str">
        <x:v>raw.crm_leads</x:v>
      </x:c>
      <x:c r="D27" s="12" t="str">
        <x:v>campaign_id</x:v>
      </x:c>
      <x:c r="E27" s="12" t="str">
        <x:v>campaign id</x:v>
      </x:c>
      <x:c r="F27" s="12" t="str">
        <x:v>Repository field raw.crm_leads.campaign_id</x:v>
      </x:c>
      <x:c r="G27" s="12" t="str">
        <x:v>STRING</x:v>
      </x:c>
      <x:c r="H27" s="12" t="str">
        <x:v>No</x:v>
      </x:c>
      <x:c r="I27" s="12" t="str">
        <x:v>Repository contract/domain</x:v>
      </x:c>
      <x:c r="J27" s="12" t="str">
        <x:v>portfolio_value</x:v>
      </x:c>
      <x:c r="K27" s="12" t="str">
        <x:v>No</x:v>
      </x:c>
      <x:c r="L27" s="12" t="str">
        <x:v>Internal portfolio</x:v>
      </x:c>
      <x:c r="M27" s="12" t="str">
        <x:v>Sales Operations Manager</x:v>
      </x:c>
      <x:c r="N27" s="12" t="str">
        <x:v>Daily</x:v>
      </x:c>
      <x:c r="O27" s="12" t="str">
        <x:v>36–48 hours</x:v>
      </x:c>
      <x:c r="P27" s="12" t="str">
        <x:v>Not-null/key rule</x:v>
      </x:c>
      <x:c r="Q27" s="12" t="str">
        <x:v>Portfolio-scale/generated unless GA4 live path</x:v>
      </x:c>
      <x:c r="R27" s="12" t="str">
        <x:v>GENERATED</x:v>
      </x:c>
    </x:row>
    <x:row r="28" ht="38" customHeight="1">
      <x:c r="A28" s="12" t="str">
        <x:v>SRC-CRM-024</x:v>
      </x:c>
      <x:c r="B28" s="12" t="str">
        <x:v>CRM</x:v>
      </x:c>
      <x:c r="C28" s="12" t="str">
        <x:v>raw.crm_leads</x:v>
      </x:c>
      <x:c r="D28" s="12" t="str">
        <x:v>qualification_stage</x:v>
      </x:c>
      <x:c r="E28" s="12" t="str">
        <x:v>qualification stage</x:v>
      </x:c>
      <x:c r="F28" s="12" t="str">
        <x:v>Repository field raw.crm_leads.qualification_stage</x:v>
      </x:c>
      <x:c r="G28" s="12" t="str">
        <x:v>STRING</x:v>
      </x:c>
      <x:c r="H28" s="12" t="str">
        <x:v>Yes</x:v>
      </x:c>
      <x:c r="I28" s="12" t="str">
        <x:v>Repository contract/domain</x:v>
      </x:c>
      <x:c r="J28" s="12" t="str">
        <x:v>portfolio_value</x:v>
      </x:c>
      <x:c r="K28" s="12" t="str">
        <x:v>No</x:v>
      </x:c>
      <x:c r="L28" s="12" t="str">
        <x:v>Internal portfolio</x:v>
      </x:c>
      <x:c r="M28" s="12" t="str">
        <x:v>Sales Operations Manager</x:v>
      </x:c>
      <x:c r="N28" s="12" t="str">
        <x:v>Daily</x:v>
      </x:c>
      <x:c r="O28" s="12" t="str">
        <x:v>36–48 hours</x:v>
      </x:c>
      <x:c r="P28" s="12" t="str">
        <x:v>Type/domain/business-rule validation</x:v>
      </x:c>
      <x:c r="Q28" s="12" t="str">
        <x:v>Portfolio-scale/generated unless GA4 live path</x:v>
      </x:c>
      <x:c r="R28" s="12" t="str">
        <x:v>GENERATED</x:v>
      </x:c>
    </x:row>
    <x:row r="29" ht="38" customHeight="1">
      <x:c r="A29" s="12" t="str">
        <x:v>SRC-CRM-025</x:v>
      </x:c>
      <x:c r="B29" s="12" t="str">
        <x:v>CRM</x:v>
      </x:c>
      <x:c r="C29" s="12" t="str">
        <x:v>raw.crm_leads</x:v>
      </x:c>
      <x:c r="D29" s="12" t="str">
        <x:v>created_at</x:v>
      </x:c>
      <x:c r="E29" s="12" t="str">
        <x:v>created at</x:v>
      </x:c>
      <x:c r="F29" s="12" t="str">
        <x:v>Repository field raw.crm_leads.created_at</x:v>
      </x:c>
      <x:c r="G29" s="12" t="str">
        <x:v>DATE/TIMESTAMP</x:v>
      </x:c>
      <x:c r="H29" s="12" t="str">
        <x:v>Yes</x:v>
      </x:c>
      <x:c r="I29" s="12" t="str">
        <x:v>Repository contract/domain</x:v>
      </x:c>
      <x:c r="J29" s="12" t="str">
        <x:v>portfolio_value</x:v>
      </x:c>
      <x:c r="K29" s="12" t="str">
        <x:v>No</x:v>
      </x:c>
      <x:c r="L29" s="12" t="str">
        <x:v>Internal portfolio</x:v>
      </x:c>
      <x:c r="M29" s="12" t="str">
        <x:v>Sales Operations Manager</x:v>
      </x:c>
      <x:c r="N29" s="12" t="str">
        <x:v>Daily</x:v>
      </x:c>
      <x:c r="O29" s="12" t="str">
        <x:v>36–48 hours</x:v>
      </x:c>
      <x:c r="P29" s="12" t="str">
        <x:v>Type/domain/business-rule validation</x:v>
      </x:c>
      <x:c r="Q29" s="12" t="str">
        <x:v>Portfolio-scale/generated unless GA4 live path</x:v>
      </x:c>
      <x:c r="R29" s="12" t="str">
        <x:v>GENERATED</x:v>
      </x:c>
    </x:row>
    <x:row r="30" ht="38" customHeight="1">
      <x:c r="A30" s="12" t="str">
        <x:v>SRC-SALES-026</x:v>
      </x:c>
      <x:c r="B30" s="12" t="str">
        <x:v>Sales</x:v>
      </x:c>
      <x:c r="C30" s="12" t="str">
        <x:v>raw.sales_conversions</x:v>
      </x:c>
      <x:c r="D30" s="12" t="str">
        <x:v>conversion_id</x:v>
      </x:c>
      <x:c r="E30" s="12" t="str">
        <x:v>conversion id</x:v>
      </x:c>
      <x:c r="F30" s="12" t="str">
        <x:v>Repository field raw.sales_conversions.conversion_id</x:v>
      </x:c>
      <x:c r="G30" s="12" t="str">
        <x:v>STRING</x:v>
      </x:c>
      <x:c r="H30" s="12" t="str">
        <x:v>No</x:v>
      </x:c>
      <x:c r="I30" s="12" t="str">
        <x:v>Repository contract/domain</x:v>
      </x:c>
      <x:c r="J30" s="12" t="str">
        <x:v>portfolio_value</x:v>
      </x:c>
      <x:c r="K30" s="12" t="str">
        <x:v>No</x:v>
      </x:c>
      <x:c r="L30" s="12" t="str">
        <x:v>Internal portfolio</x:v>
      </x:c>
      <x:c r="M30" s="12" t="str">
        <x:v>Finance Business Partner</x:v>
      </x:c>
      <x:c r="N30" s="12" t="str">
        <x:v>Daily</x:v>
      </x:c>
      <x:c r="O30" s="12" t="str">
        <x:v>36–48 hours</x:v>
      </x:c>
      <x:c r="P30" s="12" t="str">
        <x:v>Not-null/key rule</x:v>
      </x:c>
      <x:c r="Q30" s="12" t="str">
        <x:v>Portfolio-scale/generated unless GA4 live path</x:v>
      </x:c>
      <x:c r="R30" s="12" t="str">
        <x:v>GENERATED</x:v>
      </x:c>
    </x:row>
    <x:row r="31" ht="38" customHeight="1">
      <x:c r="A31" s="12" t="str">
        <x:v>SRC-SALES-027</x:v>
      </x:c>
      <x:c r="B31" s="12" t="str">
        <x:v>Sales</x:v>
      </x:c>
      <x:c r="C31" s="12" t="str">
        <x:v>raw.sales_conversions</x:v>
      </x:c>
      <x:c r="D31" s="12" t="str">
        <x:v>customer_id</x:v>
      </x:c>
      <x:c r="E31" s="12" t="str">
        <x:v>customer id</x:v>
      </x:c>
      <x:c r="F31" s="12" t="str">
        <x:v>Repository field raw.sales_conversions.customer_id</x:v>
      </x:c>
      <x:c r="G31" s="12" t="str">
        <x:v>STRING</x:v>
      </x:c>
      <x:c r="H31" s="12" t="str">
        <x:v>No</x:v>
      </x:c>
      <x:c r="I31" s="12" t="str">
        <x:v>Repository contract/domain</x:v>
      </x:c>
      <x:c r="J31" s="12" t="str">
        <x:v>portfolio_value</x:v>
      </x:c>
      <x:c r="K31" s="12" t="str">
        <x:v>Yes</x:v>
      </x:c>
      <x:c r="L31" s="12" t="str">
        <x:v>Pseudonymous/Synthetic identifier</x:v>
      </x:c>
      <x:c r="M31" s="12" t="str">
        <x:v>Finance Business Partner</x:v>
      </x:c>
      <x:c r="N31" s="12" t="str">
        <x:v>Daily</x:v>
      </x:c>
      <x:c r="O31" s="12" t="str">
        <x:v>36–48 hours</x:v>
      </x:c>
      <x:c r="P31" s="12" t="str">
        <x:v>Not-null/key rule</x:v>
      </x:c>
      <x:c r="Q31" s="12" t="str">
        <x:v>Portfolio-scale/generated unless GA4 live path</x:v>
      </x:c>
      <x:c r="R31" s="12" t="str">
        <x:v>GENERATED</x:v>
      </x:c>
    </x:row>
    <x:row r="32" ht="38" customHeight="1">
      <x:c r="A32" s="12" t="str">
        <x:v>SRC-SALES-028</x:v>
      </x:c>
      <x:c r="B32" s="12" t="str">
        <x:v>Sales</x:v>
      </x:c>
      <x:c r="C32" s="12" t="str">
        <x:v>raw.sales_conversions</x:v>
      </x:c>
      <x:c r="D32" s="12" t="str">
        <x:v>campaign_id</x:v>
      </x:c>
      <x:c r="E32" s="12" t="str">
        <x:v>campaign id</x:v>
      </x:c>
      <x:c r="F32" s="12" t="str">
        <x:v>Repository field raw.sales_conversions.campaign_id</x:v>
      </x:c>
      <x:c r="G32" s="12" t="str">
        <x:v>STRING</x:v>
      </x:c>
      <x:c r="H32" s="12" t="str">
        <x:v>No</x:v>
      </x:c>
      <x:c r="I32" s="12" t="str">
        <x:v>Repository contract/domain</x:v>
      </x:c>
      <x:c r="J32" s="12" t="str">
        <x:v>portfolio_value</x:v>
      </x:c>
      <x:c r="K32" s="12" t="str">
        <x:v>No</x:v>
      </x:c>
      <x:c r="L32" s="12" t="str">
        <x:v>Internal portfolio</x:v>
      </x:c>
      <x:c r="M32" s="12" t="str">
        <x:v>Finance Business Partner</x:v>
      </x:c>
      <x:c r="N32" s="12" t="str">
        <x:v>Daily</x:v>
      </x:c>
      <x:c r="O32" s="12" t="str">
        <x:v>36–48 hours</x:v>
      </x:c>
      <x:c r="P32" s="12" t="str">
        <x:v>Not-null/key rule</x:v>
      </x:c>
      <x:c r="Q32" s="12" t="str">
        <x:v>Portfolio-scale/generated unless GA4 live path</x:v>
      </x:c>
      <x:c r="R32" s="12" t="str">
        <x:v>GENERATED</x:v>
      </x:c>
    </x:row>
    <x:row r="33" ht="38" customHeight="1">
      <x:c r="A33" s="12" t="str">
        <x:v>SRC-SALES-029</x:v>
      </x:c>
      <x:c r="B33" s="12" t="str">
        <x:v>Sales</x:v>
      </x:c>
      <x:c r="C33" s="12" t="str">
        <x:v>raw.sales_conversions</x:v>
      </x:c>
      <x:c r="D33" s="12" t="str">
        <x:v>booked_revenue</x:v>
      </x:c>
      <x:c r="E33" s="12" t="str">
        <x:v>booked revenue</x:v>
      </x:c>
      <x:c r="F33" s="12" t="str">
        <x:v>Repository field raw.sales_conversions.booked_revenue</x:v>
      </x:c>
      <x:c r="G33" s="12" t="str">
        <x:v>NUMERIC</x:v>
      </x:c>
      <x:c r="H33" s="12" t="str">
        <x:v>Yes</x:v>
      </x:c>
      <x:c r="I33" s="12" t="str">
        <x:v>Repository contract/domain</x:v>
      </x:c>
      <x:c r="J33" s="12" t="n">
        <x:v>100</x:v>
      </x:c>
      <x:c r="K33" s="12" t="str">
        <x:v>No</x:v>
      </x:c>
      <x:c r="L33" s="12" t="str">
        <x:v>Internal portfolio</x:v>
      </x:c>
      <x:c r="M33" s="12" t="str">
        <x:v>Finance Business Partner</x:v>
      </x:c>
      <x:c r="N33" s="12" t="str">
        <x:v>Daily</x:v>
      </x:c>
      <x:c r="O33" s="12" t="str">
        <x:v>36–48 hours</x:v>
      </x:c>
      <x:c r="P33" s="12" t="str">
        <x:v>Type/domain/business-rule validation</x:v>
      </x:c>
      <x:c r="Q33" s="12" t="str">
        <x:v>Portfolio-scale/generated unless GA4 live path</x:v>
      </x:c>
      <x:c r="R33" s="12" t="str">
        <x:v>GENERATED</x:v>
      </x:c>
    </x:row>
    <x:row r="34" ht="38" customHeight="1">
      <x:c r="A34" s="12" t="str">
        <x:v>SRC-TGT-030</x:v>
      </x:c>
      <x:c r="B34" s="12" t="str">
        <x:v>Marketing Targets</x:v>
      </x:c>
      <x:c r="C34" s="12" t="str">
        <x:v>raw.marketing_targets</x:v>
      </x:c>
      <x:c r="D34" s="12" t="str">
        <x:v>target_month</x:v>
      </x:c>
      <x:c r="E34" s="12" t="str">
        <x:v>target month</x:v>
      </x:c>
      <x:c r="F34" s="12" t="str">
        <x:v>Repository field raw.marketing_targets.target_month</x:v>
      </x:c>
      <x:c r="G34" s="12" t="str">
        <x:v>DATE/TIMESTAMP</x:v>
      </x:c>
      <x:c r="H34" s="12" t="str">
        <x:v>Yes</x:v>
      </x:c>
      <x:c r="I34" s="12" t="str">
        <x:v>Repository contract/domain</x:v>
      </x:c>
      <x:c r="J34" s="12" t="str">
        <x:v>2026-08-19</x:v>
      </x:c>
      <x:c r="K34" s="12" t="str">
        <x:v>No</x:v>
      </x:c>
      <x:c r="L34" s="12" t="str">
        <x:v>Internal portfolio</x:v>
      </x:c>
      <x:c r="M34" s="12" t="str">
        <x:v>Finance Business Partner</x:v>
      </x:c>
      <x:c r="N34" s="12" t="str">
        <x:v>Monthly</x:v>
      </x:c>
      <x:c r="O34" s="12" t="str">
        <x:v>744 hours</x:v>
      </x:c>
      <x:c r="P34" s="12" t="str">
        <x:v>Type/domain/business-rule validation</x:v>
      </x:c>
      <x:c r="Q34" s="12" t="str">
        <x:v>Portfolio-scale/generated unless GA4 live path</x:v>
      </x:c>
      <x:c r="R34" s="12" t="str">
        <x:v>GENERATED</x:v>
      </x:c>
    </x:row>
    <x:row r="35" ht="38" customHeight="1">
      <x:c r="A35" s="12" t="str">
        <x:v>SRC-TGT-031</x:v>
      </x:c>
      <x:c r="B35" s="12" t="str">
        <x:v>Marketing Targets</x:v>
      </x:c>
      <x:c r="C35" s="12" t="str">
        <x:v>raw.marketing_targets</x:v>
      </x:c>
      <x:c r="D35" s="12" t="str">
        <x:v>region</x:v>
      </x:c>
      <x:c r="E35" s="12" t="str">
        <x:v>region</x:v>
      </x:c>
      <x:c r="F35" s="12" t="str">
        <x:v>Repository field raw.marketing_targets.region</x:v>
      </x:c>
      <x:c r="G35" s="12" t="str">
        <x:v>STRING</x:v>
      </x:c>
      <x:c r="H35" s="12" t="str">
        <x:v>Yes</x:v>
      </x:c>
      <x:c r="I35" s="12" t="str">
        <x:v>Repository contract/domain</x:v>
      </x:c>
      <x:c r="J35" s="12" t="str">
        <x:v>portfolio_value</x:v>
      </x:c>
      <x:c r="K35" s="12" t="str">
        <x:v>No</x:v>
      </x:c>
      <x:c r="L35" s="12" t="str">
        <x:v>Internal portfolio</x:v>
      </x:c>
      <x:c r="M35" s="12" t="str">
        <x:v>Finance Business Partner</x:v>
      </x:c>
      <x:c r="N35" s="12" t="str">
        <x:v>Monthly</x:v>
      </x:c>
      <x:c r="O35" s="12" t="str">
        <x:v>744 hours</x:v>
      </x:c>
      <x:c r="P35" s="12" t="str">
        <x:v>Type/domain/business-rule validation</x:v>
      </x:c>
      <x:c r="Q35" s="12" t="str">
        <x:v>Portfolio-scale/generated unless GA4 live path</x:v>
      </x:c>
      <x:c r="R35" s="12" t="str">
        <x:v>GENERATED</x:v>
      </x:c>
    </x:row>
    <x:row r="36" ht="38" customHeight="1">
      <x:c r="A36" s="12" t="str">
        <x:v>SRC-TGT-032</x:v>
      </x:c>
      <x:c r="B36" s="12" t="str">
        <x:v>Marketing Targets</x:v>
      </x:c>
      <x:c r="C36" s="12" t="str">
        <x:v>raw.marketing_targets</x:v>
      </x:c>
      <x:c r="D36" s="12" t="str">
        <x:v>channel</x:v>
      </x:c>
      <x:c r="E36" s="12" t="str">
        <x:v>channel</x:v>
      </x:c>
      <x:c r="F36" s="12" t="str">
        <x:v>Repository field raw.marketing_targets.channel</x:v>
      </x:c>
      <x:c r="G36" s="12" t="str">
        <x:v>STRING</x:v>
      </x:c>
      <x:c r="H36" s="12" t="str">
        <x:v>Yes</x:v>
      </x:c>
      <x:c r="I36" s="12" t="str">
        <x:v>Repository contract/domain</x:v>
      </x:c>
      <x:c r="J36" s="12" t="str">
        <x:v>portfolio_value</x:v>
      </x:c>
      <x:c r="K36" s="12" t="str">
        <x:v>No</x:v>
      </x:c>
      <x:c r="L36" s="12" t="str">
        <x:v>Internal portfolio</x:v>
      </x:c>
      <x:c r="M36" s="12" t="str">
        <x:v>Finance Business Partner</x:v>
      </x:c>
      <x:c r="N36" s="12" t="str">
        <x:v>Monthly</x:v>
      </x:c>
      <x:c r="O36" s="12" t="str">
        <x:v>744 hours</x:v>
      </x:c>
      <x:c r="P36" s="12" t="str">
        <x:v>Type/domain/business-rule validation</x:v>
      </x:c>
      <x:c r="Q36" s="12" t="str">
        <x:v>Portfolio-scale/generated unless GA4 live path</x:v>
      </x:c>
      <x:c r="R36" s="12" t="str">
        <x:v>GENERATED</x:v>
      </x:c>
    </x:row>
    <x:row r="37" ht="38" customHeight="1">
      <x:c r="A37" s="12" t="str">
        <x:v>SRC-TGT-033</x:v>
      </x:c>
      <x:c r="B37" s="12" t="str">
        <x:v>Marketing Targets</x:v>
      </x:c>
      <x:c r="C37" s="12" t="str">
        <x:v>raw.marketing_targets</x:v>
      </x:c>
      <x:c r="D37" s="12" t="str">
        <x:v>target_spend</x:v>
      </x:c>
      <x:c r="E37" s="12" t="str">
        <x:v>target spend</x:v>
      </x:c>
      <x:c r="F37" s="12" t="str">
        <x:v>Repository field raw.marketing_targets.target_spend</x:v>
      </x:c>
      <x:c r="G37" s="12" t="str">
        <x:v>NUMERIC</x:v>
      </x:c>
      <x:c r="H37" s="12" t="str">
        <x:v>Yes</x:v>
      </x:c>
      <x:c r="I37" s="12" t="str">
        <x:v>Repository contract/domain</x:v>
      </x:c>
      <x:c r="J37" s="12" t="n">
        <x:v>100</x:v>
      </x:c>
      <x:c r="K37" s="12" t="str">
        <x:v>No</x:v>
      </x:c>
      <x:c r="L37" s="12" t="str">
        <x:v>Internal portfolio</x:v>
      </x:c>
      <x:c r="M37" s="12" t="str">
        <x:v>Finance Business Partner</x:v>
      </x:c>
      <x:c r="N37" s="12" t="str">
        <x:v>Monthly</x:v>
      </x:c>
      <x:c r="O37" s="12" t="str">
        <x:v>744 hours</x:v>
      </x:c>
      <x:c r="P37" s="12" t="str">
        <x:v>Type/domain/business-rule validation</x:v>
      </x:c>
      <x:c r="Q37" s="12" t="str">
        <x:v>Portfolio-scale/generated unless GA4 live path</x:v>
      </x:c>
      <x:c r="R37" s="12" t="str">
        <x:v>GENERATED</x:v>
      </x:c>
    </x:row>
    <x:row r="38" ht="38" customHeight="1">
      <x:c r="A38" s="12" t="str">
        <x:v>SRC-TGT-034</x:v>
      </x:c>
      <x:c r="B38" s="12" t="str">
        <x:v>Marketing Targets</x:v>
      </x:c>
      <x:c r="C38" s="12" t="str">
        <x:v>raw.marketing_targets</x:v>
      </x:c>
      <x:c r="D38" s="12" t="str">
        <x:v>target_revenue</x:v>
      </x:c>
      <x:c r="E38" s="12" t="str">
        <x:v>target revenue</x:v>
      </x:c>
      <x:c r="F38" s="12" t="str">
        <x:v>Repository field raw.marketing_targets.target_revenue</x:v>
      </x:c>
      <x:c r="G38" s="12" t="str">
        <x:v>NUMERIC</x:v>
      </x:c>
      <x:c r="H38" s="12" t="str">
        <x:v>Yes</x:v>
      </x:c>
      <x:c r="I38" s="12" t="str">
        <x:v>Repository contract/domain</x:v>
      </x:c>
      <x:c r="J38" s="12" t="n">
        <x:v>100</x:v>
      </x:c>
      <x:c r="K38" s="12" t="str">
        <x:v>No</x:v>
      </x:c>
      <x:c r="L38" s="12" t="str">
        <x:v>Internal portfolio</x:v>
      </x:c>
      <x:c r="M38" s="12" t="str">
        <x:v>Finance Business Partner</x:v>
      </x:c>
      <x:c r="N38" s="12" t="str">
        <x:v>Monthly</x:v>
      </x:c>
      <x:c r="O38" s="12" t="str">
        <x:v>744 hours</x:v>
      </x:c>
      <x:c r="P38" s="12" t="str">
        <x:v>Type/domain/business-rule validation</x:v>
      </x:c>
      <x:c r="Q38" s="12" t="str">
        <x:v>Portfolio-scale/generated unless GA4 live path</x:v>
      </x:c>
      <x:c r="R38" s="12" t="str">
        <x:v>GENERATED</x:v>
      </x:c>
    </x:row>
    <x:row r="39" ht="38" customHeight="1">
      <x:c r="A39" s="12" t="str">
        <x:v>SRC-CMAP-035</x:v>
      </x:c>
      <x:c r="B39" s="12" t="str">
        <x:v>Campaign Mapping</x:v>
      </x:c>
      <x:c r="C39" s="12" t="str">
        <x:v>raw.campaign_mapping</x:v>
      </x:c>
      <x:c r="D39" s="12" t="str">
        <x:v>source_campaign_id</x:v>
      </x:c>
      <x:c r="E39" s="12" t="str">
        <x:v>source campaign id</x:v>
      </x:c>
      <x:c r="F39" s="12" t="str">
        <x:v>Repository field raw.campaign_mapping.source_campaign_id</x:v>
      </x:c>
      <x:c r="G39" s="12" t="str">
        <x:v>STRING</x:v>
      </x:c>
      <x:c r="H39" s="12" t="str">
        <x:v>No</x:v>
      </x:c>
      <x:c r="I39" s="12" t="str">
        <x:v>Repository contract/domain</x:v>
      </x:c>
      <x:c r="J39" s="12" t="str">
        <x:v>portfolio_value</x:v>
      </x:c>
      <x:c r="K39" s="12" t="str">
        <x:v>No</x:v>
      </x:c>
      <x:c r="L39" s="12" t="str">
        <x:v>Internal portfolio</x:v>
      </x:c>
      <x:c r="M39" s="12" t="str">
        <x:v>Marketing Analytics Manager</x:v>
      </x:c>
      <x:c r="N39" s="12" t="str">
        <x:v>Daily</x:v>
      </x:c>
      <x:c r="O39" s="12" t="str">
        <x:v>36–48 hours</x:v>
      </x:c>
      <x:c r="P39" s="12" t="str">
        <x:v>Not-null/key rule</x:v>
      </x:c>
      <x:c r="Q39" s="12" t="str">
        <x:v>Portfolio-scale/generated unless GA4 live path</x:v>
      </x:c>
      <x:c r="R39" s="12" t="str">
        <x:v>GENERATED</x:v>
      </x:c>
    </x:row>
    <x:row r="40" ht="38" customHeight="1">
      <x:c r="A40" s="12" t="str">
        <x:v>SRC-CMAP-036</x:v>
      </x:c>
      <x:c r="B40" s="12" t="str">
        <x:v>Campaign Mapping</x:v>
      </x:c>
      <x:c r="C40" s="12" t="str">
        <x:v>raw.campaign_mapping</x:v>
      </x:c>
      <x:c r="D40" s="12" t="str">
        <x:v>canonical_campaign_name</x:v>
      </x:c>
      <x:c r="E40" s="12" t="str">
        <x:v>canonical campaign name</x:v>
      </x:c>
      <x:c r="F40" s="12" t="str">
        <x:v>Repository field raw.campaign_mapping.canonical_campaign_name</x:v>
      </x:c>
      <x:c r="G40" s="12" t="str">
        <x:v>STRING</x:v>
      </x:c>
      <x:c r="H40" s="12" t="str">
        <x:v>Yes</x:v>
      </x:c>
      <x:c r="I40" s="12" t="str">
        <x:v>Repository contract/domain</x:v>
      </x:c>
      <x:c r="J40" s="12" t="str">
        <x:v>portfolio_value</x:v>
      </x:c>
      <x:c r="K40" s="12" t="str">
        <x:v>No</x:v>
      </x:c>
      <x:c r="L40" s="12" t="str">
        <x:v>Internal portfolio</x:v>
      </x:c>
      <x:c r="M40" s="12" t="str">
        <x:v>Marketing Analytics Manager</x:v>
      </x:c>
      <x:c r="N40" s="12" t="str">
        <x:v>Daily</x:v>
      </x:c>
      <x:c r="O40" s="12" t="str">
        <x:v>36–48 hours</x:v>
      </x:c>
      <x:c r="P40" s="12" t="str">
        <x:v>Type/domain/business-rule validation</x:v>
      </x:c>
      <x:c r="Q40" s="12" t="str">
        <x:v>Portfolio-scale/generated unless GA4 live path</x:v>
      </x:c>
      <x:c r="R40" s="12" t="str">
        <x:v>GENERATED</x:v>
      </x:c>
    </x:row>
    <x:row r="41" ht="38" customHeight="1">
      <x:c r="A41" s="12" t="str">
        <x:v>SRC-CMAP-037</x:v>
      </x:c>
      <x:c r="B41" s="12" t="str">
        <x:v>Campaign Mapping</x:v>
      </x:c>
      <x:c r="C41" s="12" t="str">
        <x:v>raw.campaign_mapping</x:v>
      </x:c>
      <x:c r="D41" s="12" t="str">
        <x:v>canonical_channel</x:v>
      </x:c>
      <x:c r="E41" s="12" t="str">
        <x:v>canonical channel</x:v>
      </x:c>
      <x:c r="F41" s="12" t="str">
        <x:v>Repository field raw.campaign_mapping.canonical_channel</x:v>
      </x:c>
      <x:c r="G41" s="12" t="str">
        <x:v>STRING</x:v>
      </x:c>
      <x:c r="H41" s="12" t="str">
        <x:v>Yes</x:v>
      </x:c>
      <x:c r="I41" s="12" t="str">
        <x:v>Repository contract/domain</x:v>
      </x:c>
      <x:c r="J41" s="12" t="str">
        <x:v>portfolio_value</x:v>
      </x:c>
      <x:c r="K41" s="12" t="str">
        <x:v>No</x:v>
      </x:c>
      <x:c r="L41" s="12" t="str">
        <x:v>Internal portfolio</x:v>
      </x:c>
      <x:c r="M41" s="12" t="str">
        <x:v>Marketing Analytics Manager</x:v>
      </x:c>
      <x:c r="N41" s="12" t="str">
        <x:v>Daily</x:v>
      </x:c>
      <x:c r="O41" s="12" t="str">
        <x:v>36–48 hours</x:v>
      </x:c>
      <x:c r="P41" s="12" t="str">
        <x:v>Type/domain/business-rule validation</x:v>
      </x:c>
      <x:c r="Q41" s="12" t="str">
        <x:v>Portfolio-scale/generated unless GA4 live path</x:v>
      </x:c>
      <x:c r="R41" s="12" t="str">
        <x:v>GENERATED</x:v>
      </x:c>
    </x:row>
    <x:row r="42" ht="38" customHeight="1">
      <x:c r="A42" s="12" t="str">
        <x:v>SRC-CMAP-038</x:v>
      </x:c>
      <x:c r="B42" s="12" t="str">
        <x:v>Campaign Mapping</x:v>
      </x:c>
      <x:c r="C42" s="12" t="str">
        <x:v>raw.campaign_mapping</x:v>
      </x:c>
      <x:c r="D42" s="12" t="str">
        <x:v>owner_team</x:v>
      </x:c>
      <x:c r="E42" s="12" t="str">
        <x:v>owner team</x:v>
      </x:c>
      <x:c r="F42" s="12" t="str">
        <x:v>Repository field raw.campaign_mapping.owner_team</x:v>
      </x:c>
      <x:c r="G42" s="12" t="str">
        <x:v>STRING</x:v>
      </x:c>
      <x:c r="H42" s="12" t="str">
        <x:v>Yes</x:v>
      </x:c>
      <x:c r="I42" s="12" t="str">
        <x:v>Repository contract/domain</x:v>
      </x:c>
      <x:c r="J42" s="12" t="str">
        <x:v>portfolio_value</x:v>
      </x:c>
      <x:c r="K42" s="12" t="str">
        <x:v>No</x:v>
      </x:c>
      <x:c r="L42" s="12" t="str">
        <x:v>Internal portfolio</x:v>
      </x:c>
      <x:c r="M42" s="12" t="str">
        <x:v>Marketing Analytics Manager</x:v>
      </x:c>
      <x:c r="N42" s="12" t="str">
        <x:v>Daily</x:v>
      </x:c>
      <x:c r="O42" s="12" t="str">
        <x:v>36–48 hours</x:v>
      </x:c>
      <x:c r="P42" s="12" t="str">
        <x:v>Type/domain/business-rule validation</x:v>
      </x:c>
      <x:c r="Q42" s="12" t="str">
        <x:v>Portfolio-scale/generated unless GA4 live path</x:v>
      </x:c>
      <x:c r="R42" s="12" t="str">
        <x:v>GENERATED</x:v>
      </x:c>
    </x:row>
    <x:row r="43" ht="38" customHeight="1">
      <x:c r="A43" s="12" t="str">
        <x:v>SRC-RMAP-039</x:v>
      </x:c>
      <x:c r="B43" s="12" t="str">
        <x:v>Region Mapping</x:v>
      </x:c>
      <x:c r="C43" s="12" t="str">
        <x:v>raw.region_mapping</x:v>
      </x:c>
      <x:c r="D43" s="12" t="str">
        <x:v>source_region</x:v>
      </x:c>
      <x:c r="E43" s="12" t="str">
        <x:v>source region</x:v>
      </x:c>
      <x:c r="F43" s="12" t="str">
        <x:v>Repository field raw.region_mapping.source_region</x:v>
      </x:c>
      <x:c r="G43" s="12" t="str">
        <x:v>STRING</x:v>
      </x:c>
      <x:c r="H43" s="12" t="str">
        <x:v>Yes</x:v>
      </x:c>
      <x:c r="I43" s="12" t="str">
        <x:v>Repository contract/domain</x:v>
      </x:c>
      <x:c r="J43" s="12" t="str">
        <x:v>portfolio_value</x:v>
      </x:c>
      <x:c r="K43" s="12" t="str">
        <x:v>No</x:v>
      </x:c>
      <x:c r="L43" s="12" t="str">
        <x:v>Internal portfolio</x:v>
      </x:c>
      <x:c r="M43" s="12" t="str">
        <x:v>Sales Operations Manager</x:v>
      </x:c>
      <x:c r="N43" s="12" t="str">
        <x:v>Daily</x:v>
      </x:c>
      <x:c r="O43" s="12" t="str">
        <x:v>36–48 hours</x:v>
      </x:c>
      <x:c r="P43" s="12" t="str">
        <x:v>Type/domain/business-rule validation</x:v>
      </x:c>
      <x:c r="Q43" s="12" t="str">
        <x:v>Portfolio-scale/generated unless GA4 live path</x:v>
      </x:c>
      <x:c r="R43" s="12" t="str">
        <x:v>GENERATED</x:v>
      </x:c>
    </x:row>
    <x:row r="44" ht="38" customHeight="1">
      <x:c r="A44" s="12" t="str">
        <x:v>SRC-RMAP-040</x:v>
      </x:c>
      <x:c r="B44" s="12" t="str">
        <x:v>Region Mapping</x:v>
      </x:c>
      <x:c r="C44" s="12" t="str">
        <x:v>raw.region_mapping</x:v>
      </x:c>
      <x:c r="D44" s="12" t="str">
        <x:v>country</x:v>
      </x:c>
      <x:c r="E44" s="12" t="str">
        <x:v>country</x:v>
      </x:c>
      <x:c r="F44" s="12" t="str">
        <x:v>Repository field raw.region_mapping.country</x:v>
      </x:c>
      <x:c r="G44" s="12" t="str">
        <x:v>STRING</x:v>
      </x:c>
      <x:c r="H44" s="12" t="str">
        <x:v>Yes</x:v>
      </x:c>
      <x:c r="I44" s="12" t="str">
        <x:v>Repository contract/domain</x:v>
      </x:c>
      <x:c r="J44" s="12" t="str">
        <x:v>portfolio_value</x:v>
      </x:c>
      <x:c r="K44" s="12" t="str">
        <x:v>No</x:v>
      </x:c>
      <x:c r="L44" s="12" t="str">
        <x:v>Internal portfolio</x:v>
      </x:c>
      <x:c r="M44" s="12" t="str">
        <x:v>Sales Operations Manager</x:v>
      </x:c>
      <x:c r="N44" s="12" t="str">
        <x:v>Daily</x:v>
      </x:c>
      <x:c r="O44" s="12" t="str">
        <x:v>36–48 hours</x:v>
      </x:c>
      <x:c r="P44" s="12" t="str">
        <x:v>Type/domain/business-rule validation</x:v>
      </x:c>
      <x:c r="Q44" s="12" t="str">
        <x:v>Portfolio-scale/generated unless GA4 live path</x:v>
      </x:c>
      <x:c r="R44" s="12" t="str">
        <x:v>GENERATED</x:v>
      </x:c>
    </x:row>
    <x:row r="45" ht="38" customHeight="1">
      <x:c r="A45" s="12" t="str">
        <x:v>SRC-RMAP-041</x:v>
      </x:c>
      <x:c r="B45" s="12" t="str">
        <x:v>Region Mapping</x:v>
      </x:c>
      <x:c r="C45" s="12" t="str">
        <x:v>raw.region_mapping</x:v>
      </x:c>
      <x:c r="D45" s="12" t="str">
        <x:v>region</x:v>
      </x:c>
      <x:c r="E45" s="12" t="str">
        <x:v>region</x:v>
      </x:c>
      <x:c r="F45" s="12" t="str">
        <x:v>Repository field raw.region_mapping.region</x:v>
      </x:c>
      <x:c r="G45" s="12" t="str">
        <x:v>STRING</x:v>
      </x:c>
      <x:c r="H45" s="12" t="str">
        <x:v>Yes</x:v>
      </x:c>
      <x:c r="I45" s="12" t="str">
        <x:v>Repository contract/domain</x:v>
      </x:c>
      <x:c r="J45" s="12" t="str">
        <x:v>portfolio_value</x:v>
      </x:c>
      <x:c r="K45" s="12" t="str">
        <x:v>No</x:v>
      </x:c>
      <x:c r="L45" s="12" t="str">
        <x:v>Internal portfolio</x:v>
      </x:c>
      <x:c r="M45" s="12" t="str">
        <x:v>Sales Operations Manager</x:v>
      </x:c>
      <x:c r="N45" s="12" t="str">
        <x:v>Daily</x:v>
      </x:c>
      <x:c r="O45" s="12" t="str">
        <x:v>36–48 hours</x:v>
      </x:c>
      <x:c r="P45" s="12" t="str">
        <x:v>Type/domain/business-rule validation</x:v>
      </x:c>
      <x:c r="Q45" s="12" t="str">
        <x:v>Portfolio-scale/generated unless GA4 live path</x:v>
      </x:c>
      <x:c r="R45" s="12" t="str">
        <x:v>GENERATED</x:v>
      </x:c>
    </x:row>
    <x:row r="46" ht="38" customHeight="1">
      <x:c r="A46" s="12" t="str">
        <x:v>SRC-RMAP-042</x:v>
      </x:c>
      <x:c r="B46" s="12" t="str">
        <x:v>Region Mapping</x:v>
      </x:c>
      <x:c r="C46" s="12" t="str">
        <x:v>raw.region_mapping</x:v>
      </x:c>
      <x:c r="D46" s="12" t="str">
        <x:v>sales_territory</x:v>
      </x:c>
      <x:c r="E46" s="12" t="str">
        <x:v>sales territory</x:v>
      </x:c>
      <x:c r="F46" s="12" t="str">
        <x:v>Repository field raw.region_mapping.sales_territory</x:v>
      </x:c>
      <x:c r="G46" s="12" t="str">
        <x:v>STRING</x:v>
      </x:c>
      <x:c r="H46" s="12" t="str">
        <x:v>Yes</x:v>
      </x:c>
      <x:c r="I46" s="12" t="str">
        <x:v>Repository contract/domain</x:v>
      </x:c>
      <x:c r="J46" s="12" t="str">
        <x:v>portfolio_value</x:v>
      </x:c>
      <x:c r="K46" s="12" t="str">
        <x:v>No</x:v>
      </x:c>
      <x:c r="L46" s="12" t="str">
        <x:v>Internal portfolio</x:v>
      </x:c>
      <x:c r="M46" s="12" t="str">
        <x:v>Sales Operations Manager</x:v>
      </x:c>
      <x:c r="N46" s="12" t="str">
        <x:v>Daily</x:v>
      </x:c>
      <x:c r="O46" s="12" t="str">
        <x:v>36–48 hours</x:v>
      </x:c>
      <x:c r="P46" s="12" t="str">
        <x:v>Type/domain/business-rule validation</x:v>
      </x:c>
      <x:c r="Q46" s="12" t="str">
        <x:v>Portfolio-scale/generated unless GA4 live path</x:v>
      </x:c>
      <x:c r="R46" s="12" t="str">
        <x:v>GENERATED</x:v>
      </x:c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a74806856bdc438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0" hidden="0" customWidth="1"/>
    <x:col min="7" max="7" width="30" hidden="0" customWidth="1"/>
    <x:col min="8" max="8" width="18" hidden="0" customWidth="1"/>
    <x:col min="9" max="9" width="18" hidden="0" customWidth="1"/>
    <x:col min="10" max="10" width="13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30" customHeight="1">
      <x:c r="A1" s="2" t="str">
        <x:v>Enterprise Data Dictionary — Warehouse Fields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2" customHeight="1">
      <x:c r="A2" s="5" t="str">
        <x:v>Representative traceable fields from staging, intermediate, warehouse, reporting and semantic assets.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4" ht="32" customHeight="1">
      <x:c r="A4" s="9" t="str">
        <x:v>Field ID</x:v>
      </x:c>
      <x:c r="B4" s="9" t="str">
        <x:v>dbt Model</x:v>
      </x:c>
      <x:c r="C4" s="9" t="str">
        <x:v>Field</x:v>
      </x:c>
      <x:c r="D4" s="9" t="str">
        <x:v>Model Layer</x:v>
      </x:c>
      <x:c r="E4" s="9" t="str">
        <x:v>Grain</x:v>
      </x:c>
      <x:c r="F4" s="9" t="str">
        <x:v>Definition</x:v>
      </x:c>
      <x:c r="G4" s="9" t="str">
        <x:v>Transformation / Business Rule</x:v>
      </x:c>
      <x:c r="H4" s="9" t="str">
        <x:v>Upstream Source Field</x:v>
      </x:c>
      <x:c r="I4" s="9" t="str">
        <x:v>Data Type</x:v>
      </x:c>
      <x:c r="J4" s="9" t="str">
        <x:v>Nullable</x:v>
      </x:c>
      <x:c r="K4" s="9" t="str">
        <x:v>Key Type</x:v>
      </x:c>
      <x:c r="L4" s="9" t="str">
        <x:v>Quality Test</x:v>
      </x:c>
      <x:c r="M4" s="9" t="str">
        <x:v>Downstream KPI / Report</x:v>
      </x:c>
    </x:row>
    <x:row r="5" ht="38" customHeight="1">
      <x:c r="A5" s="12" t="str">
        <x:v>WH-001</x:v>
      </x:c>
      <x:c r="B5" s="12" t="str">
        <x:v>stg_google_ads</x:v>
      </x:c>
      <x:c r="C5" s="12" t="str">
        <x:v>event_date</x:v>
      </x:c>
      <x:c r="D5" s="12" t="str">
        <x:v>Staging</x:v>
      </x:c>
      <x:c r="E5" s="12" t="str">
        <x:v>event_date + campaign</x:v>
      </x:c>
      <x:c r="F5" s="12" t="str">
        <x:v>event date</x:v>
      </x:c>
      <x:c r="G5" s="12" t="str">
        <x:v>Raw normalization</x:v>
      </x:c>
      <x:c r="H5" s="12" t="str">
        <x:v>SRC-GADS.event_date</x:v>
      </x:c>
      <x:c r="I5" s="12" t="str">
        <x:v>DATE</x:v>
      </x:c>
      <x:c r="J5" s="12" t="str">
        <x:v>Yes</x:v>
      </x:c>
      <x:c r="K5" s="12" t="str">
        <x:v>Measure/attribute</x:v>
      </x:c>
      <x:c r="L5" s="12" t="str">
        <x:v>dbt model and reconciliation tests</x:v>
      </x:c>
      <x:c r="M5" s="12" t="str">
        <x:v>Semantic/report support</x:v>
      </x:c>
    </x:row>
    <x:row r="6" ht="38" customHeight="1">
      <x:c r="A6" s="12" t="str">
        <x:v>WH-002</x:v>
      </x:c>
      <x:c r="B6" s="12" t="str">
        <x:v>stg_google_ads</x:v>
      </x:c>
      <x:c r="C6" s="12" t="str">
        <x:v>campaign_id</x:v>
      </x:c>
      <x:c r="D6" s="12" t="str">
        <x:v>Staging</x:v>
      </x:c>
      <x:c r="E6" s="12" t="str">
        <x:v>event_date + campaign</x:v>
      </x:c>
      <x:c r="F6" s="12" t="str">
        <x:v>campaign id</x:v>
      </x:c>
      <x:c r="G6" s="12" t="str">
        <x:v>Raw normalization</x:v>
      </x:c>
      <x:c r="H6" s="12" t="str">
        <x:v>SRC-GADS.campaign_id</x:v>
      </x:c>
      <x:c r="I6" s="12" t="str">
        <x:v>STRING</x:v>
      </x:c>
      <x:c r="J6" s="12" t="str">
        <x:v>Yes</x:v>
      </x:c>
      <x:c r="K6" s="12" t="str">
        <x:v>Measure/attribute</x:v>
      </x:c>
      <x:c r="L6" s="12" t="str">
        <x:v>dbt model and reconciliation tests</x:v>
      </x:c>
      <x:c r="M6" s="12" t="str">
        <x:v>Semantic/report support</x:v>
      </x:c>
    </x:row>
    <x:row r="7" ht="38" customHeight="1">
      <x:c r="A7" s="12" t="str">
        <x:v>WH-003</x:v>
      </x:c>
      <x:c r="B7" s="12" t="str">
        <x:v>stg_google_ads</x:v>
      </x:c>
      <x:c r="C7" s="12" t="str">
        <x:v>spend</x:v>
      </x:c>
      <x:c r="D7" s="12" t="str">
        <x:v>Staging</x:v>
      </x:c>
      <x:c r="E7" s="12" t="str">
        <x:v>event_date + campaign</x:v>
      </x:c>
      <x:c r="F7" s="12" t="str">
        <x:v>spend</x:v>
      </x:c>
      <x:c r="G7" s="12" t="str">
        <x:v>Raw normalization</x:v>
      </x:c>
      <x:c r="H7" s="12" t="str">
        <x:v>SRC-GADS.spend</x:v>
      </x:c>
      <x:c r="I7" s="12" t="str">
        <x:v>NUMERIC</x:v>
      </x:c>
      <x:c r="J7" s="12" t="str">
        <x:v>Yes</x:v>
      </x:c>
      <x:c r="K7" s="12" t="str">
        <x:v>Measure/attribute</x:v>
      </x:c>
      <x:c r="L7" s="12" t="str">
        <x:v>dbt model and reconciliation tests</x:v>
      </x:c>
      <x:c r="M7" s="12" t="str">
        <x:v>Governed KPI / Power BI</x:v>
      </x:c>
    </x:row>
    <x:row r="8" ht="38" customHeight="1">
      <x:c r="A8" s="12" t="str">
        <x:v>WH-004</x:v>
      </x:c>
      <x:c r="B8" s="12" t="str">
        <x:v>stg_google_ads</x:v>
      </x:c>
      <x:c r="C8" s="12" t="str">
        <x:v>impressions</x:v>
      </x:c>
      <x:c r="D8" s="12" t="str">
        <x:v>Staging</x:v>
      </x:c>
      <x:c r="E8" s="12" t="str">
        <x:v>event_date + campaign</x:v>
      </x:c>
      <x:c r="F8" s="12" t="str">
        <x:v>impressions</x:v>
      </x:c>
      <x:c r="G8" s="12" t="str">
        <x:v>Raw normalization</x:v>
      </x:c>
      <x:c r="H8" s="12" t="str">
        <x:v>SRC-GADS.impressions</x:v>
      </x:c>
      <x:c r="I8" s="12" t="str">
        <x:v>NUMERIC</x:v>
      </x:c>
      <x:c r="J8" s="12" t="str">
        <x:v>Yes</x:v>
      </x:c>
      <x:c r="K8" s="12" t="str">
        <x:v>Measure/attribute</x:v>
      </x:c>
      <x:c r="L8" s="12" t="str">
        <x:v>dbt model and reconciliation tests</x:v>
      </x:c>
      <x:c r="M8" s="12" t="str">
        <x:v>Semantic/report support</x:v>
      </x:c>
    </x:row>
    <x:row r="9" ht="38" customHeight="1">
      <x:c r="A9" s="12" t="str">
        <x:v>WH-005</x:v>
      </x:c>
      <x:c r="B9" s="12" t="str">
        <x:v>stg_google_ads</x:v>
      </x:c>
      <x:c r="C9" s="12" t="str">
        <x:v>clicks</x:v>
      </x:c>
      <x:c r="D9" s="12" t="str">
        <x:v>Staging</x:v>
      </x:c>
      <x:c r="E9" s="12" t="str">
        <x:v>event_date + campaign</x:v>
      </x:c>
      <x:c r="F9" s="12" t="str">
        <x:v>clicks</x:v>
      </x:c>
      <x:c r="G9" s="12" t="str">
        <x:v>Raw normalization</x:v>
      </x:c>
      <x:c r="H9" s="12" t="str">
        <x:v>SRC-GADS.clicks</x:v>
      </x:c>
      <x:c r="I9" s="12" t="str">
        <x:v>NUMERIC</x:v>
      </x:c>
      <x:c r="J9" s="12" t="str">
        <x:v>Yes</x:v>
      </x:c>
      <x:c r="K9" s="12" t="str">
        <x:v>Measure/attribute</x:v>
      </x:c>
      <x:c r="L9" s="12" t="str">
        <x:v>dbt model and reconciliation tests</x:v>
      </x:c>
      <x:c r="M9" s="12" t="str">
        <x:v>Semantic/report support</x:v>
      </x:c>
    </x:row>
    <x:row r="10" ht="38" customHeight="1">
      <x:c r="A10" s="12" t="str">
        <x:v>WH-006</x:v>
      </x:c>
      <x:c r="B10" s="12" t="str">
        <x:v>stg_facebook_ads</x:v>
      </x:c>
      <x:c r="C10" s="12" t="str">
        <x:v>event_date</x:v>
      </x:c>
      <x:c r="D10" s="12" t="str">
        <x:v>Staging</x:v>
      </x:c>
      <x:c r="E10" s="12" t="str">
        <x:v>event_date + campaign</x:v>
      </x:c>
      <x:c r="F10" s="12" t="str">
        <x:v>event date</x:v>
      </x:c>
      <x:c r="G10" s="12" t="str">
        <x:v>Raw normalization</x:v>
      </x:c>
      <x:c r="H10" s="12" t="str">
        <x:v>SRC-META.event_date</x:v>
      </x:c>
      <x:c r="I10" s="12" t="str">
        <x:v>DATE</x:v>
      </x:c>
      <x:c r="J10" s="12" t="str">
        <x:v>Yes</x:v>
      </x:c>
      <x:c r="K10" s="12" t="str">
        <x:v>Measure/attribute</x:v>
      </x:c>
      <x:c r="L10" s="12" t="str">
        <x:v>dbt model and reconciliation tests</x:v>
      </x:c>
      <x:c r="M10" s="12" t="str">
        <x:v>Semantic/report support</x:v>
      </x:c>
    </x:row>
    <x:row r="11" ht="38" customHeight="1">
      <x:c r="A11" s="12" t="str">
        <x:v>WH-007</x:v>
      </x:c>
      <x:c r="B11" s="12" t="str">
        <x:v>stg_facebook_ads</x:v>
      </x:c>
      <x:c r="C11" s="12" t="str">
        <x:v>campaign_id</x:v>
      </x:c>
      <x:c r="D11" s="12" t="str">
        <x:v>Staging</x:v>
      </x:c>
      <x:c r="E11" s="12" t="str">
        <x:v>event_date + campaign</x:v>
      </x:c>
      <x:c r="F11" s="12" t="str">
        <x:v>campaign id</x:v>
      </x:c>
      <x:c r="G11" s="12" t="str">
        <x:v>Raw normalization</x:v>
      </x:c>
      <x:c r="H11" s="12" t="str">
        <x:v>SRC-META.campaign_id</x:v>
      </x:c>
      <x:c r="I11" s="12" t="str">
        <x:v>STRING</x:v>
      </x:c>
      <x:c r="J11" s="12" t="str">
        <x:v>Yes</x:v>
      </x:c>
      <x:c r="K11" s="12" t="str">
        <x:v>Measure/attribute</x:v>
      </x:c>
      <x:c r="L11" s="12" t="str">
        <x:v>dbt model and reconciliation tests</x:v>
      </x:c>
      <x:c r="M11" s="12" t="str">
        <x:v>Semantic/report support</x:v>
      </x:c>
    </x:row>
    <x:row r="12" ht="38" customHeight="1">
      <x:c r="A12" s="12" t="str">
        <x:v>WH-008</x:v>
      </x:c>
      <x:c r="B12" s="12" t="str">
        <x:v>stg_facebook_ads</x:v>
      </x:c>
      <x:c r="C12" s="12" t="str">
        <x:v>spend</x:v>
      </x:c>
      <x:c r="D12" s="12" t="str">
        <x:v>Staging</x:v>
      </x:c>
      <x:c r="E12" s="12" t="str">
        <x:v>event_date + campaign</x:v>
      </x:c>
      <x:c r="F12" s="12" t="str">
        <x:v>spend</x:v>
      </x:c>
      <x:c r="G12" s="12" t="str">
        <x:v>Raw normalization</x:v>
      </x:c>
      <x:c r="H12" s="12" t="str">
        <x:v>SRC-META.spend</x:v>
      </x:c>
      <x:c r="I12" s="12" t="str">
        <x:v>NUMERIC</x:v>
      </x:c>
      <x:c r="J12" s="12" t="str">
        <x:v>Yes</x:v>
      </x:c>
      <x:c r="K12" s="12" t="str">
        <x:v>Measure/attribute</x:v>
      </x:c>
      <x:c r="L12" s="12" t="str">
        <x:v>dbt model and reconciliation tests</x:v>
      </x:c>
      <x:c r="M12" s="12" t="str">
        <x:v>Governed KPI / Power BI</x:v>
      </x:c>
    </x:row>
    <x:row r="13" ht="38" customHeight="1">
      <x:c r="A13" s="12" t="str">
        <x:v>WH-009</x:v>
      </x:c>
      <x:c r="B13" s="12" t="str">
        <x:v>stg_facebook_ads</x:v>
      </x:c>
      <x:c r="C13" s="12" t="str">
        <x:v>impressions</x:v>
      </x:c>
      <x:c r="D13" s="12" t="str">
        <x:v>Staging</x:v>
      </x:c>
      <x:c r="E13" s="12" t="str">
        <x:v>event_date + campaign</x:v>
      </x:c>
      <x:c r="F13" s="12" t="str">
        <x:v>impressions</x:v>
      </x:c>
      <x:c r="G13" s="12" t="str">
        <x:v>Raw normalization</x:v>
      </x:c>
      <x:c r="H13" s="12" t="str">
        <x:v>SRC-META.impressions</x:v>
      </x:c>
      <x:c r="I13" s="12" t="str">
        <x:v>NUMERIC</x:v>
      </x:c>
      <x:c r="J13" s="12" t="str">
        <x:v>Yes</x:v>
      </x:c>
      <x:c r="K13" s="12" t="str">
        <x:v>Measure/attribute</x:v>
      </x:c>
      <x:c r="L13" s="12" t="str">
        <x:v>dbt model and reconciliation tests</x:v>
      </x:c>
      <x:c r="M13" s="12" t="str">
        <x:v>Semantic/report support</x:v>
      </x:c>
    </x:row>
    <x:row r="14" ht="38" customHeight="1">
      <x:c r="A14" s="12" t="str">
        <x:v>WH-010</x:v>
      </x:c>
      <x:c r="B14" s="12" t="str">
        <x:v>stg_facebook_ads</x:v>
      </x:c>
      <x:c r="C14" s="12" t="str">
        <x:v>clicks</x:v>
      </x:c>
      <x:c r="D14" s="12" t="str">
        <x:v>Staging</x:v>
      </x:c>
      <x:c r="E14" s="12" t="str">
        <x:v>event_date + campaign</x:v>
      </x:c>
      <x:c r="F14" s="12" t="str">
        <x:v>clicks</x:v>
      </x:c>
      <x:c r="G14" s="12" t="str">
        <x:v>Raw normalization</x:v>
      </x:c>
      <x:c r="H14" s="12" t="str">
        <x:v>SRC-META.clicks</x:v>
      </x:c>
      <x:c r="I14" s="12" t="str">
        <x:v>NUMERIC</x:v>
      </x:c>
      <x:c r="J14" s="12" t="str">
        <x:v>Yes</x:v>
      </x:c>
      <x:c r="K14" s="12" t="str">
        <x:v>Measure/attribute</x:v>
      </x:c>
      <x:c r="L14" s="12" t="str">
        <x:v>dbt model and reconciliation tests</x:v>
      </x:c>
      <x:c r="M14" s="12" t="str">
        <x:v>Semantic/report support</x:v>
      </x:c>
    </x:row>
    <x:row r="15" ht="38" customHeight="1">
      <x:c r="A15" s="12" t="str">
        <x:v>WH-011</x:v>
      </x:c>
      <x:c r="B15" s="12" t="str">
        <x:v>stg_tiktok_ads</x:v>
      </x:c>
      <x:c r="C15" s="12" t="str">
        <x:v>event_date</x:v>
      </x:c>
      <x:c r="D15" s="12" t="str">
        <x:v>Staging</x:v>
      </x:c>
      <x:c r="E15" s="12" t="str">
        <x:v>event_date + campaign</x:v>
      </x:c>
      <x:c r="F15" s="12" t="str">
        <x:v>event date</x:v>
      </x:c>
      <x:c r="G15" s="12" t="str">
        <x:v>Raw normalization</x:v>
      </x:c>
      <x:c r="H15" s="12" t="str">
        <x:v>SRC-TIK.event_date</x:v>
      </x:c>
      <x:c r="I15" s="12" t="str">
        <x:v>DATE</x:v>
      </x:c>
      <x:c r="J15" s="12" t="str">
        <x:v>Yes</x:v>
      </x:c>
      <x:c r="K15" s="12" t="str">
        <x:v>Measure/attribute</x:v>
      </x:c>
      <x:c r="L15" s="12" t="str">
        <x:v>dbt model and reconciliation tests</x:v>
      </x:c>
      <x:c r="M15" s="12" t="str">
        <x:v>Semantic/report support</x:v>
      </x:c>
    </x:row>
    <x:row r="16" ht="38" customHeight="1">
      <x:c r="A16" s="12" t="str">
        <x:v>WH-012</x:v>
      </x:c>
      <x:c r="B16" s="12" t="str">
        <x:v>stg_tiktok_ads</x:v>
      </x:c>
      <x:c r="C16" s="12" t="str">
        <x:v>campaign_id</x:v>
      </x:c>
      <x:c r="D16" s="12" t="str">
        <x:v>Staging</x:v>
      </x:c>
      <x:c r="E16" s="12" t="str">
        <x:v>event_date + campaign</x:v>
      </x:c>
      <x:c r="F16" s="12" t="str">
        <x:v>campaign id</x:v>
      </x:c>
      <x:c r="G16" s="12" t="str">
        <x:v>Raw normalization</x:v>
      </x:c>
      <x:c r="H16" s="12" t="str">
        <x:v>SRC-TIK.campaign_id</x:v>
      </x:c>
      <x:c r="I16" s="12" t="str">
        <x:v>STRING</x:v>
      </x:c>
      <x:c r="J16" s="12" t="str">
        <x:v>Yes</x:v>
      </x:c>
      <x:c r="K16" s="12" t="str">
        <x:v>Measure/attribute</x:v>
      </x:c>
      <x:c r="L16" s="12" t="str">
        <x:v>dbt model and reconciliation tests</x:v>
      </x:c>
      <x:c r="M16" s="12" t="str">
        <x:v>Semantic/report support</x:v>
      </x:c>
    </x:row>
    <x:row r="17" ht="38" customHeight="1">
      <x:c r="A17" s="12" t="str">
        <x:v>WH-013</x:v>
      </x:c>
      <x:c r="B17" s="12" t="str">
        <x:v>stg_tiktok_ads</x:v>
      </x:c>
      <x:c r="C17" s="12" t="str">
        <x:v>spend</x:v>
      </x:c>
      <x:c r="D17" s="12" t="str">
        <x:v>Staging</x:v>
      </x:c>
      <x:c r="E17" s="12" t="str">
        <x:v>event_date + campaign</x:v>
      </x:c>
      <x:c r="F17" s="12" t="str">
        <x:v>spend</x:v>
      </x:c>
      <x:c r="G17" s="12" t="str">
        <x:v>Raw normalization</x:v>
      </x:c>
      <x:c r="H17" s="12" t="str">
        <x:v>SRC-TIK.spend</x:v>
      </x:c>
      <x:c r="I17" s="12" t="str">
        <x:v>NUMERIC</x:v>
      </x:c>
      <x:c r="J17" s="12" t="str">
        <x:v>Yes</x:v>
      </x:c>
      <x:c r="K17" s="12" t="str">
        <x:v>Measure/attribute</x:v>
      </x:c>
      <x:c r="L17" s="12" t="str">
        <x:v>dbt model and reconciliation tests</x:v>
      </x:c>
      <x:c r="M17" s="12" t="str">
        <x:v>Governed KPI / Power BI</x:v>
      </x:c>
    </x:row>
    <x:row r="18" ht="38" customHeight="1">
      <x:c r="A18" s="12" t="str">
        <x:v>WH-014</x:v>
      </x:c>
      <x:c r="B18" s="12" t="str">
        <x:v>stg_tiktok_ads</x:v>
      </x:c>
      <x:c r="C18" s="12" t="str">
        <x:v>video_views</x:v>
      </x:c>
      <x:c r="D18" s="12" t="str">
        <x:v>Staging</x:v>
      </x:c>
      <x:c r="E18" s="12" t="str">
        <x:v>event_date + campaign</x:v>
      </x:c>
      <x:c r="F18" s="12" t="str">
        <x:v>video views</x:v>
      </x:c>
      <x:c r="G18" s="12" t="str">
        <x:v>Raw normalization</x:v>
      </x:c>
      <x:c r="H18" s="12" t="str">
        <x:v>SRC-TIK.video_views</x:v>
      </x:c>
      <x:c r="I18" s="12" t="str">
        <x:v>NUMERIC</x:v>
      </x:c>
      <x:c r="J18" s="12" t="str">
        <x:v>Yes</x:v>
      </x:c>
      <x:c r="K18" s="12" t="str">
        <x:v>Measure/attribute</x:v>
      </x:c>
      <x:c r="L18" s="12" t="str">
        <x:v>dbt model and reconciliation tests</x:v>
      </x:c>
      <x:c r="M18" s="12" t="str">
        <x:v>Semantic/report support</x:v>
      </x:c>
    </x:row>
    <x:row r="19" ht="38" customHeight="1">
      <x:c r="A19" s="12" t="str">
        <x:v>WH-015</x:v>
      </x:c>
      <x:c r="B19" s="12" t="str">
        <x:v>stg_tiktok_ads</x:v>
      </x:c>
      <x:c r="C19" s="12" t="str">
        <x:v>clicks</x:v>
      </x:c>
      <x:c r="D19" s="12" t="str">
        <x:v>Staging</x:v>
      </x:c>
      <x:c r="E19" s="12" t="str">
        <x:v>event_date + campaign</x:v>
      </x:c>
      <x:c r="F19" s="12" t="str">
        <x:v>clicks</x:v>
      </x:c>
      <x:c r="G19" s="12" t="str">
        <x:v>Raw normalization</x:v>
      </x:c>
      <x:c r="H19" s="12" t="str">
        <x:v>SRC-TIK.clicks</x:v>
      </x:c>
      <x:c r="I19" s="12" t="str">
        <x:v>NUMERIC</x:v>
      </x:c>
      <x:c r="J19" s="12" t="str">
        <x:v>Yes</x:v>
      </x:c>
      <x:c r="K19" s="12" t="str">
        <x:v>Measure/attribute</x:v>
      </x:c>
      <x:c r="L19" s="12" t="str">
        <x:v>dbt model and reconciliation tests</x:v>
      </x:c>
      <x:c r="M19" s="12" t="str">
        <x:v>Semantic/report support</x:v>
      </x:c>
    </x:row>
    <x:row r="20" ht="38" customHeight="1">
      <x:c r="A20" s="12" t="str">
        <x:v>WH-016</x:v>
      </x:c>
      <x:c r="B20" s="12" t="str">
        <x:v>stg_ga4_live_events</x:v>
      </x:c>
      <x:c r="C20" s="12" t="str">
        <x:v>event_key</x:v>
      </x:c>
      <x:c r="D20" s="12" t="str">
        <x:v>Staging</x:v>
      </x:c>
      <x:c r="E20" s="12" t="str">
        <x:v>event</x:v>
      </x:c>
      <x:c r="F20" s="12" t="str">
        <x:v>event key</x:v>
      </x:c>
      <x:c r="G20" s="12" t="str">
        <x:v>Bounded wildcard and hostname filter</x:v>
      </x:c>
      <x:c r="H20" s="12" t="str">
        <x:v>SRC-GA4.event_key</x:v>
      </x:c>
      <x:c r="I20" s="12" t="str">
        <x:v>STRING</x:v>
      </x:c>
      <x:c r="J20" s="12" t="str">
        <x:v>No</x:v>
      </x:c>
      <x:c r="K20" s="12" t="str">
        <x:v>Primary/foreign key</x:v>
      </x:c>
      <x:c r="L20" s="12" t="str">
        <x:v>not_null / unique where applicable</x:v>
      </x:c>
      <x:c r="M20" s="12" t="str">
        <x:v>Semantic/report support</x:v>
      </x:c>
    </x:row>
    <x:row r="21" ht="38" customHeight="1">
      <x:c r="A21" s="12" t="str">
        <x:v>WH-017</x:v>
      </x:c>
      <x:c r="B21" s="12" t="str">
        <x:v>stg_ga4_live_events</x:v>
      </x:c>
      <x:c r="C21" s="12" t="str">
        <x:v>event_date</x:v>
      </x:c>
      <x:c r="D21" s="12" t="str">
        <x:v>Staging</x:v>
      </x:c>
      <x:c r="E21" s="12" t="str">
        <x:v>event</x:v>
      </x:c>
      <x:c r="F21" s="12" t="str">
        <x:v>event date</x:v>
      </x:c>
      <x:c r="G21" s="12" t="str">
        <x:v>Bounded wildcard and hostname filter</x:v>
      </x:c>
      <x:c r="H21" s="12" t="str">
        <x:v>SRC-GA4.event_date</x:v>
      </x:c>
      <x:c r="I21" s="12" t="str">
        <x:v>DATE</x:v>
      </x:c>
      <x:c r="J21" s="12" t="str">
        <x:v>Yes</x:v>
      </x:c>
      <x:c r="K21" s="12" t="str">
        <x:v>Measure/attribute</x:v>
      </x:c>
      <x:c r="L21" s="12" t="str">
        <x:v>dbt model and reconciliation tests</x:v>
      </x:c>
      <x:c r="M21" s="12" t="str">
        <x:v>Semantic/report support</x:v>
      </x:c>
    </x:row>
    <x:row r="22" ht="38" customHeight="1">
      <x:c r="A22" s="12" t="str">
        <x:v>WH-018</x:v>
      </x:c>
      <x:c r="B22" s="12" t="str">
        <x:v>stg_ga4_live_events</x:v>
      </x:c>
      <x:c r="C22" s="12" t="str">
        <x:v>event_name</x:v>
      </x:c>
      <x:c r="D22" s="12" t="str">
        <x:v>Staging</x:v>
      </x:c>
      <x:c r="E22" s="12" t="str">
        <x:v>event</x:v>
      </x:c>
      <x:c r="F22" s="12" t="str">
        <x:v>event name</x:v>
      </x:c>
      <x:c r="G22" s="12" t="str">
        <x:v>Bounded wildcard and hostname filter</x:v>
      </x:c>
      <x:c r="H22" s="12" t="str">
        <x:v>SRC-GA4.event_name</x:v>
      </x:c>
      <x:c r="I22" s="12" t="str">
        <x:v>STRING</x:v>
      </x:c>
      <x:c r="J22" s="12" t="str">
        <x:v>Yes</x:v>
      </x:c>
      <x:c r="K22" s="12" t="str">
        <x:v>Measure/attribute</x:v>
      </x:c>
      <x:c r="L22" s="12" t="str">
        <x:v>dbt model and reconciliation tests</x:v>
      </x:c>
      <x:c r="M22" s="12" t="str">
        <x:v>Semantic/report support</x:v>
      </x:c>
    </x:row>
    <x:row r="23" ht="38" customHeight="1">
      <x:c r="A23" s="12" t="str">
        <x:v>WH-019</x:v>
      </x:c>
      <x:c r="B23" s="12" t="str">
        <x:v>stg_ga4_live_events</x:v>
      </x:c>
      <x:c r="C23" s="12" t="str">
        <x:v>hostname</x:v>
      </x:c>
      <x:c r="D23" s="12" t="str">
        <x:v>Staging</x:v>
      </x:c>
      <x:c r="E23" s="12" t="str">
        <x:v>event</x:v>
      </x:c>
      <x:c r="F23" s="12" t="str">
        <x:v>hostname</x:v>
      </x:c>
      <x:c r="G23" s="12" t="str">
        <x:v>Bounded wildcard and hostname filter</x:v>
      </x:c>
      <x:c r="H23" s="12" t="str">
        <x:v>SRC-GA4.hostname</x:v>
      </x:c>
      <x:c r="I23" s="12" t="str">
        <x:v>STRING</x:v>
      </x:c>
      <x:c r="J23" s="12" t="str">
        <x:v>Yes</x:v>
      </x:c>
      <x:c r="K23" s="12" t="str">
        <x:v>Measure/attribute</x:v>
      </x:c>
      <x:c r="L23" s="12" t="str">
        <x:v>dbt model and reconciliation tests</x:v>
      </x:c>
      <x:c r="M23" s="12" t="str">
        <x:v>Semantic/report support</x:v>
      </x:c>
    </x:row>
    <x:row r="24" ht="38" customHeight="1">
      <x:c r="A24" s="12" t="str">
        <x:v>WH-020</x:v>
      </x:c>
      <x:c r="B24" s="12" t="str">
        <x:v>stg_ga4_live_events</x:v>
      </x:c>
      <x:c r="C24" s="12" t="str">
        <x:v>ga_session_id</x:v>
      </x:c>
      <x:c r="D24" s="12" t="str">
        <x:v>Staging</x:v>
      </x:c>
      <x:c r="E24" s="12" t="str">
        <x:v>event</x:v>
      </x:c>
      <x:c r="F24" s="12" t="str">
        <x:v>ga session id</x:v>
      </x:c>
      <x:c r="G24" s="12" t="str">
        <x:v>Bounded wildcard and hostname filter</x:v>
      </x:c>
      <x:c r="H24" s="12" t="str">
        <x:v>SRC-GA4.ga_session_id</x:v>
      </x:c>
      <x:c r="I24" s="12" t="str">
        <x:v>STRING</x:v>
      </x:c>
      <x:c r="J24" s="12" t="str">
        <x:v>Yes</x:v>
      </x:c>
      <x:c r="K24" s="12" t="str">
        <x:v>Measure/attribute</x:v>
      </x:c>
      <x:c r="L24" s="12" t="str">
        <x:v>dbt model and reconciliation tests</x:v>
      </x:c>
      <x:c r="M24" s="12" t="str">
        <x:v>Governed KPI / Power BI</x:v>
      </x:c>
    </x:row>
    <x:row r="25" ht="38" customHeight="1">
      <x:c r="A25" s="12" t="str">
        <x:v>WH-021</x:v>
      </x:c>
      <x:c r="B25" s="12" t="str">
        <x:v>stg_ga4_live_events</x:v>
      </x:c>
      <x:c r="C25" s="12" t="str">
        <x:v>value</x:v>
      </x:c>
      <x:c r="D25" s="12" t="str">
        <x:v>Staging</x:v>
      </x:c>
      <x:c r="E25" s="12" t="str">
        <x:v>event</x:v>
      </x:c>
      <x:c r="F25" s="12" t="str">
        <x:v>value</x:v>
      </x:c>
      <x:c r="G25" s="12" t="str">
        <x:v>Bounded wildcard and hostname filter</x:v>
      </x:c>
      <x:c r="H25" s="12" t="str">
        <x:v>SRC-GA4.value</x:v>
      </x:c>
      <x:c r="I25" s="12" t="str">
        <x:v>NUMERIC</x:v>
      </x:c>
      <x:c r="J25" s="12" t="str">
        <x:v>Yes</x:v>
      </x:c>
      <x:c r="K25" s="12" t="str">
        <x:v>Measure/attribute</x:v>
      </x:c>
      <x:c r="L25" s="12" t="str">
        <x:v>dbt model and reconciliation tests</x:v>
      </x:c>
      <x:c r="M25" s="12" t="str">
        <x:v>Semantic/report support</x:v>
      </x:c>
    </x:row>
    <x:row r="26" ht="38" customHeight="1">
      <x:c r="A26" s="12" t="str">
        <x:v>WH-022</x:v>
      </x:c>
      <x:c r="B26" s="12" t="str">
        <x:v>stg_ga4_live_ecommerce_items</x:v>
      </x:c>
      <x:c r="C26" s="12" t="str">
        <x:v>item_event_key</x:v>
      </x:c>
      <x:c r="D26" s="12" t="str">
        <x:v>Staging</x:v>
      </x:c>
      <x:c r="E26" s="12" t="str">
        <x:v>event item</x:v>
      </x:c>
      <x:c r="F26" s="12" t="str">
        <x:v>item event key</x:v>
      </x:c>
      <x:c r="G26" s="12" t="str">
        <x:v>Single repeated-items UNNEST</x:v>
      </x:c>
      <x:c r="H26" s="12" t="str">
        <x:v>SRC-GA4.item_event_key</x:v>
      </x:c>
      <x:c r="I26" s="12" t="str">
        <x:v>STRING</x:v>
      </x:c>
      <x:c r="J26" s="12" t="str">
        <x:v>No</x:v>
      </x:c>
      <x:c r="K26" s="12" t="str">
        <x:v>Primary/foreign key</x:v>
      </x:c>
      <x:c r="L26" s="12" t="str">
        <x:v>not_null / unique where applicable</x:v>
      </x:c>
      <x:c r="M26" s="12" t="str">
        <x:v>Semantic/report support</x:v>
      </x:c>
    </x:row>
    <x:row r="27" ht="38" customHeight="1">
      <x:c r="A27" s="12" t="str">
        <x:v>WH-023</x:v>
      </x:c>
      <x:c r="B27" s="12" t="str">
        <x:v>stg_ga4_live_ecommerce_items</x:v>
      </x:c>
      <x:c r="C27" s="12" t="str">
        <x:v>event_key</x:v>
      </x:c>
      <x:c r="D27" s="12" t="str">
        <x:v>Staging</x:v>
      </x:c>
      <x:c r="E27" s="12" t="str">
        <x:v>event item</x:v>
      </x:c>
      <x:c r="F27" s="12" t="str">
        <x:v>event key</x:v>
      </x:c>
      <x:c r="G27" s="12" t="str">
        <x:v>Single repeated-items UNNEST</x:v>
      </x:c>
      <x:c r="H27" s="12" t="str">
        <x:v>SRC-GA4.event_key</x:v>
      </x:c>
      <x:c r="I27" s="12" t="str">
        <x:v>STRING</x:v>
      </x:c>
      <x:c r="J27" s="12" t="str">
        <x:v>No</x:v>
      </x:c>
      <x:c r="K27" s="12" t="str">
        <x:v>Primary/foreign key</x:v>
      </x:c>
      <x:c r="L27" s="12" t="str">
        <x:v>not_null / unique where applicable</x:v>
      </x:c>
      <x:c r="M27" s="12" t="str">
        <x:v>Semantic/report support</x:v>
      </x:c>
    </x:row>
    <x:row r="28" ht="38" customHeight="1">
      <x:c r="A28" s="12" t="str">
        <x:v>WH-024</x:v>
      </x:c>
      <x:c r="B28" s="12" t="str">
        <x:v>stg_ga4_live_ecommerce_items</x:v>
      </x:c>
      <x:c r="C28" s="12" t="str">
        <x:v>item_id</x:v>
      </x:c>
      <x:c r="D28" s="12" t="str">
        <x:v>Staging</x:v>
      </x:c>
      <x:c r="E28" s="12" t="str">
        <x:v>event item</x:v>
      </x:c>
      <x:c r="F28" s="12" t="str">
        <x:v>item id</x:v>
      </x:c>
      <x:c r="G28" s="12" t="str">
        <x:v>Single repeated-items UNNEST</x:v>
      </x:c>
      <x:c r="H28" s="12" t="str">
        <x:v>SRC-GA4.item_id</x:v>
      </x:c>
      <x:c r="I28" s="12" t="str">
        <x:v>STRING</x:v>
      </x:c>
      <x:c r="J28" s="12" t="str">
        <x:v>Yes</x:v>
      </x:c>
      <x:c r="K28" s="12" t="str">
        <x:v>Measure/attribute</x:v>
      </x:c>
      <x:c r="L28" s="12" t="str">
        <x:v>dbt model and reconciliation tests</x:v>
      </x:c>
      <x:c r="M28" s="12" t="str">
        <x:v>Semantic/report support</x:v>
      </x:c>
    </x:row>
    <x:row r="29" ht="38" customHeight="1">
      <x:c r="A29" s="12" t="str">
        <x:v>WH-025</x:v>
      </x:c>
      <x:c r="B29" s="12" t="str">
        <x:v>stg_ga4_live_ecommerce_items</x:v>
      </x:c>
      <x:c r="C29" s="12" t="str">
        <x:v>price</x:v>
      </x:c>
      <x:c r="D29" s="12" t="str">
        <x:v>Staging</x:v>
      </x:c>
      <x:c r="E29" s="12" t="str">
        <x:v>event item</x:v>
      </x:c>
      <x:c r="F29" s="12" t="str">
        <x:v>price</x:v>
      </x:c>
      <x:c r="G29" s="12" t="str">
        <x:v>Single repeated-items UNNEST</x:v>
      </x:c>
      <x:c r="H29" s="12" t="str">
        <x:v>SRC-GA4.price</x:v>
      </x:c>
      <x:c r="I29" s="12" t="str">
        <x:v>NUMERIC</x:v>
      </x:c>
      <x:c r="J29" s="12" t="str">
        <x:v>Yes</x:v>
      </x:c>
      <x:c r="K29" s="12" t="str">
        <x:v>Measure/attribute</x:v>
      </x:c>
      <x:c r="L29" s="12" t="str">
        <x:v>dbt model and reconciliation tests</x:v>
      </x:c>
      <x:c r="M29" s="12" t="str">
        <x:v>Semantic/report support</x:v>
      </x:c>
    </x:row>
    <x:row r="30" ht="38" customHeight="1">
      <x:c r="A30" s="12" t="str">
        <x:v>WH-026</x:v>
      </x:c>
      <x:c r="B30" s="12" t="str">
        <x:v>stg_ga4_live_ecommerce_items</x:v>
      </x:c>
      <x:c r="C30" s="12" t="str">
        <x:v>quantity</x:v>
      </x:c>
      <x:c r="D30" s="12" t="str">
        <x:v>Staging</x:v>
      </x:c>
      <x:c r="E30" s="12" t="str">
        <x:v>event item</x:v>
      </x:c>
      <x:c r="F30" s="12" t="str">
        <x:v>quantity</x:v>
      </x:c>
      <x:c r="G30" s="12" t="str">
        <x:v>Single repeated-items UNNEST</x:v>
      </x:c>
      <x:c r="H30" s="12" t="str">
        <x:v>SRC-GA4.quantity</x:v>
      </x:c>
      <x:c r="I30" s="12" t="str">
        <x:v>NUMERIC</x:v>
      </x:c>
      <x:c r="J30" s="12" t="str">
        <x:v>Yes</x:v>
      </x:c>
      <x:c r="K30" s="12" t="str">
        <x:v>Measure/attribute</x:v>
      </x:c>
      <x:c r="L30" s="12" t="str">
        <x:v>dbt model and reconciliation tests</x:v>
      </x:c>
      <x:c r="M30" s="12" t="str">
        <x:v>Semantic/report support</x:v>
      </x:c>
    </x:row>
    <x:row r="31" ht="38" customHeight="1">
      <x:c r="A31" s="12" t="str">
        <x:v>WH-027</x:v>
      </x:c>
      <x:c r="B31" s="12" t="str">
        <x:v>int_ga4_live_sessions</x:v>
      </x:c>
      <x:c r="C31" s="12" t="str">
        <x:v>session_key</x:v>
      </x:c>
      <x:c r="D31" s="12" t="str">
        <x:v>Intermediate</x:v>
      </x:c>
      <x:c r="E31" s="12" t="str">
        <x:v>user session</x:v>
      </x:c>
      <x:c r="F31" s="12" t="str">
        <x:v>session key</x:v>
      </x:c>
      <x:c r="G31" s="12" t="str">
        <x:v>Session aggregation</x:v>
      </x:c>
      <x:c r="H31" s="12" t="str">
        <x:v>WH-STG-GA4.session_key</x:v>
      </x:c>
      <x:c r="I31" s="12" t="str">
        <x:v>STRING</x:v>
      </x:c>
      <x:c r="J31" s="12" t="str">
        <x:v>No</x:v>
      </x:c>
      <x:c r="K31" s="12" t="str">
        <x:v>Primary/foreign key</x:v>
      </x:c>
      <x:c r="L31" s="12" t="str">
        <x:v>not_null / unique where applicable</x:v>
      </x:c>
      <x:c r="M31" s="12" t="str">
        <x:v>Governed KPI / Power BI</x:v>
      </x:c>
    </x:row>
    <x:row r="32" ht="38" customHeight="1">
      <x:c r="A32" s="12" t="str">
        <x:v>WH-028</x:v>
      </x:c>
      <x:c r="B32" s="12" t="str">
        <x:v>int_ga4_live_sessions</x:v>
      </x:c>
      <x:c r="C32" s="12" t="str">
        <x:v>user_key</x:v>
      </x:c>
      <x:c r="D32" s="12" t="str">
        <x:v>Intermediate</x:v>
      </x:c>
      <x:c r="E32" s="12" t="str">
        <x:v>user session</x:v>
      </x:c>
      <x:c r="F32" s="12" t="str">
        <x:v>user key</x:v>
      </x:c>
      <x:c r="G32" s="12" t="str">
        <x:v>Session aggregation</x:v>
      </x:c>
      <x:c r="H32" s="12" t="str">
        <x:v>WH-STG-GA4.user_key</x:v>
      </x:c>
      <x:c r="I32" s="12" t="str">
        <x:v>STRING</x:v>
      </x:c>
      <x:c r="J32" s="12" t="str">
        <x:v>No</x:v>
      </x:c>
      <x:c r="K32" s="12" t="str">
        <x:v>Primary/foreign key</x:v>
      </x:c>
      <x:c r="L32" s="12" t="str">
        <x:v>not_null / unique where applicable</x:v>
      </x:c>
      <x:c r="M32" s="12" t="str">
        <x:v>Semantic/report support</x:v>
      </x:c>
    </x:row>
    <x:row r="33" ht="38" customHeight="1">
      <x:c r="A33" s="12" t="str">
        <x:v>WH-029</x:v>
      </x:c>
      <x:c r="B33" s="12" t="str">
        <x:v>int_ga4_live_sessions</x:v>
      </x:c>
      <x:c r="C33" s="12" t="str">
        <x:v>session_date</x:v>
      </x:c>
      <x:c r="D33" s="12" t="str">
        <x:v>Intermediate</x:v>
      </x:c>
      <x:c r="E33" s="12" t="str">
        <x:v>user session</x:v>
      </x:c>
      <x:c r="F33" s="12" t="str">
        <x:v>session date</x:v>
      </x:c>
      <x:c r="G33" s="12" t="str">
        <x:v>Session aggregation</x:v>
      </x:c>
      <x:c r="H33" s="12" t="str">
        <x:v>WH-STG-GA4.session_date</x:v>
      </x:c>
      <x:c r="I33" s="12" t="str">
        <x:v>DATE</x:v>
      </x:c>
      <x:c r="J33" s="12" t="str">
        <x:v>Yes</x:v>
      </x:c>
      <x:c r="K33" s="12" t="str">
        <x:v>Measure/attribute</x:v>
      </x:c>
      <x:c r="L33" s="12" t="str">
        <x:v>dbt model and reconciliation tests</x:v>
      </x:c>
      <x:c r="M33" s="12" t="str">
        <x:v>Governed KPI / Power BI</x:v>
      </x:c>
    </x:row>
    <x:row r="34" ht="38" customHeight="1">
      <x:c r="A34" s="12" t="str">
        <x:v>WH-030</x:v>
      </x:c>
      <x:c r="B34" s="12" t="str">
        <x:v>int_ga4_live_sessions</x:v>
      </x:c>
      <x:c r="C34" s="12" t="str">
        <x:v>event_count</x:v>
      </x:c>
      <x:c r="D34" s="12" t="str">
        <x:v>Intermediate</x:v>
      </x:c>
      <x:c r="E34" s="12" t="str">
        <x:v>user session</x:v>
      </x:c>
      <x:c r="F34" s="12" t="str">
        <x:v>event count</x:v>
      </x:c>
      <x:c r="G34" s="12" t="str">
        <x:v>Session aggregation</x:v>
      </x:c>
      <x:c r="H34" s="12" t="str">
        <x:v>WH-STG-GA4.event_count</x:v>
      </x:c>
      <x:c r="I34" s="12" t="str">
        <x:v>NUMERIC</x:v>
      </x:c>
      <x:c r="J34" s="12" t="str">
        <x:v>Yes</x:v>
      </x:c>
      <x:c r="K34" s="12" t="str">
        <x:v>Measure/attribute</x:v>
      </x:c>
      <x:c r="L34" s="12" t="str">
        <x:v>dbt model and reconciliation tests</x:v>
      </x:c>
      <x:c r="M34" s="12" t="str">
        <x:v>Semantic/report support</x:v>
      </x:c>
    </x:row>
    <x:row r="35" ht="38" customHeight="1">
      <x:c r="A35" s="12" t="str">
        <x:v>WH-031</x:v>
      </x:c>
      <x:c r="B35" s="12" t="str">
        <x:v>int_ga4_live_sessions</x:v>
      </x:c>
      <x:c r="C35" s="12" t="str">
        <x:v>purchase_value</x:v>
      </x:c>
      <x:c r="D35" s="12" t="str">
        <x:v>Intermediate</x:v>
      </x:c>
      <x:c r="E35" s="12" t="str">
        <x:v>user session</x:v>
      </x:c>
      <x:c r="F35" s="12" t="str">
        <x:v>purchase value</x:v>
      </x:c>
      <x:c r="G35" s="12" t="str">
        <x:v>Session aggregation</x:v>
      </x:c>
      <x:c r="H35" s="12" t="str">
        <x:v>WH-STG-GA4.purchase_value</x:v>
      </x:c>
      <x:c r="I35" s="12" t="str">
        <x:v>NUMERIC</x:v>
      </x:c>
      <x:c r="J35" s="12" t="str">
        <x:v>Yes</x:v>
      </x:c>
      <x:c r="K35" s="12" t="str">
        <x:v>Measure/attribute</x:v>
      </x:c>
      <x:c r="L35" s="12" t="str">
        <x:v>dbt model and reconciliation tests</x:v>
      </x:c>
      <x:c r="M35" s="12" t="str">
        <x:v>Semantic/report support</x:v>
      </x:c>
    </x:row>
    <x:row r="36" ht="38" customHeight="1">
      <x:c r="A36" s="12" t="str">
        <x:v>WH-032</x:v>
      </x:c>
      <x:c r="B36" s="12" t="str">
        <x:v>fact_campaign_performance</x:v>
      </x:c>
      <x:c r="C36" s="12" t="str">
        <x:v>fact_campaign_performance_key</x:v>
      </x:c>
      <x:c r="D36" s="12" t="str">
        <x:v>Warehouse fact</x:v>
      </x:c>
      <x:c r="E36" s="12" t="str">
        <x:v>date + campaign</x:v>
      </x:c>
      <x:c r="F36" s="12" t="str">
        <x:v>fact campaign performance key</x:v>
      </x:c>
      <x:c r="G36" s="12" t="str">
        <x:v>Conformed campaign performance</x:v>
      </x:c>
      <x:c r="H36" s="12" t="str">
        <x:v>WH-STG-ADS.fact_campaign_performance_key</x:v>
      </x:c>
      <x:c r="I36" s="12" t="str">
        <x:v>STRING</x:v>
      </x:c>
      <x:c r="J36" s="12" t="str">
        <x:v>No</x:v>
      </x:c>
      <x:c r="K36" s="12" t="str">
        <x:v>Primary/foreign key</x:v>
      </x:c>
      <x:c r="L36" s="12" t="str">
        <x:v>not_null / unique where applicable</x:v>
      </x:c>
      <x:c r="M36" s="12" t="str">
        <x:v>Semantic/report support</x:v>
      </x:c>
    </x:row>
    <x:row r="37" ht="38" customHeight="1">
      <x:c r="A37" s="12" t="str">
        <x:v>WH-033</x:v>
      </x:c>
      <x:c r="B37" s="12" t="str">
        <x:v>fact_campaign_performance</x:v>
      </x:c>
      <x:c r="C37" s="12" t="str">
        <x:v>event_date</x:v>
      </x:c>
      <x:c r="D37" s="12" t="str">
        <x:v>Warehouse fact</x:v>
      </x:c>
      <x:c r="E37" s="12" t="str">
        <x:v>date + campaign</x:v>
      </x:c>
      <x:c r="F37" s="12" t="str">
        <x:v>event date</x:v>
      </x:c>
      <x:c r="G37" s="12" t="str">
        <x:v>Conformed campaign performance</x:v>
      </x:c>
      <x:c r="H37" s="12" t="str">
        <x:v>WH-STG-ADS.event_date</x:v>
      </x:c>
      <x:c r="I37" s="12" t="str">
        <x:v>DATE</x:v>
      </x:c>
      <x:c r="J37" s="12" t="str">
        <x:v>Yes</x:v>
      </x:c>
      <x:c r="K37" s="12" t="str">
        <x:v>Measure/attribute</x:v>
      </x:c>
      <x:c r="L37" s="12" t="str">
        <x:v>dbt model and reconciliation tests</x:v>
      </x:c>
      <x:c r="M37" s="12" t="str">
        <x:v>Semantic/report support</x:v>
      </x:c>
    </x:row>
    <x:row r="38" ht="38" customHeight="1">
      <x:c r="A38" s="12" t="str">
        <x:v>WH-034</x:v>
      </x:c>
      <x:c r="B38" s="12" t="str">
        <x:v>fact_campaign_performance</x:v>
      </x:c>
      <x:c r="C38" s="12" t="str">
        <x:v>campaign_key</x:v>
      </x:c>
      <x:c r="D38" s="12" t="str">
        <x:v>Warehouse fact</x:v>
      </x:c>
      <x:c r="E38" s="12" t="str">
        <x:v>date + campaign</x:v>
      </x:c>
      <x:c r="F38" s="12" t="str">
        <x:v>campaign key</x:v>
      </x:c>
      <x:c r="G38" s="12" t="str">
        <x:v>Conformed campaign performance</x:v>
      </x:c>
      <x:c r="H38" s="12" t="str">
        <x:v>WH-STG-ADS.campaign_key</x:v>
      </x:c>
      <x:c r="I38" s="12" t="str">
        <x:v>STRING</x:v>
      </x:c>
      <x:c r="J38" s="12" t="str">
        <x:v>No</x:v>
      </x:c>
      <x:c r="K38" s="12" t="str">
        <x:v>Primary/foreign key</x:v>
      </x:c>
      <x:c r="L38" s="12" t="str">
        <x:v>not_null / unique where applicable</x:v>
      </x:c>
      <x:c r="M38" s="12" t="str">
        <x:v>Semantic/report support</x:v>
      </x:c>
    </x:row>
    <x:row r="39" ht="38" customHeight="1">
      <x:c r="A39" s="12" t="str">
        <x:v>WH-035</x:v>
      </x:c>
      <x:c r="B39" s="12" t="str">
        <x:v>fact_campaign_performance</x:v>
      </x:c>
      <x:c r="C39" s="12" t="str">
        <x:v>spend</x:v>
      </x:c>
      <x:c r="D39" s="12" t="str">
        <x:v>Warehouse fact</x:v>
      </x:c>
      <x:c r="E39" s="12" t="str">
        <x:v>date + campaign</x:v>
      </x:c>
      <x:c r="F39" s="12" t="str">
        <x:v>spend</x:v>
      </x:c>
      <x:c r="G39" s="12" t="str">
        <x:v>Conformed campaign performance</x:v>
      </x:c>
      <x:c r="H39" s="12" t="str">
        <x:v>WH-STG-ADS.spend</x:v>
      </x:c>
      <x:c r="I39" s="12" t="str">
        <x:v>NUMERIC</x:v>
      </x:c>
      <x:c r="J39" s="12" t="str">
        <x:v>Yes</x:v>
      </x:c>
      <x:c r="K39" s="12" t="str">
        <x:v>Measure/attribute</x:v>
      </x:c>
      <x:c r="L39" s="12" t="str">
        <x:v>dbt model and reconciliation tests</x:v>
      </x:c>
      <x:c r="M39" s="12" t="str">
        <x:v>Governed KPI / Power BI</x:v>
      </x:c>
    </x:row>
    <x:row r="40" ht="38" customHeight="1">
      <x:c r="A40" s="12" t="str">
        <x:v>WH-036</x:v>
      </x:c>
      <x:c r="B40" s="12" t="str">
        <x:v>fact_campaign_performance</x:v>
      </x:c>
      <x:c r="C40" s="12" t="str">
        <x:v>booked_revenue</x:v>
      </x:c>
      <x:c r="D40" s="12" t="str">
        <x:v>Warehouse fact</x:v>
      </x:c>
      <x:c r="E40" s="12" t="str">
        <x:v>date + campaign</x:v>
      </x:c>
      <x:c r="F40" s="12" t="str">
        <x:v>booked revenue</x:v>
      </x:c>
      <x:c r="G40" s="12" t="str">
        <x:v>Conformed campaign performance</x:v>
      </x:c>
      <x:c r="H40" s="12" t="str">
        <x:v>WH-STG-ADS.booked_revenue</x:v>
      </x:c>
      <x:c r="I40" s="12" t="str">
        <x:v>NUMERIC</x:v>
      </x:c>
      <x:c r="J40" s="12" t="str">
        <x:v>Yes</x:v>
      </x:c>
      <x:c r="K40" s="12" t="str">
        <x:v>Measure/attribute</x:v>
      </x:c>
      <x:c r="L40" s="12" t="str">
        <x:v>dbt model and reconciliation tests</x:v>
      </x:c>
      <x:c r="M40" s="12" t="str">
        <x:v>Governed KPI / Power BI</x:v>
      </x:c>
    </x:row>
    <x:row r="41" ht="38" customHeight="1">
      <x:c r="A41" s="12" t="str">
        <x:v>WH-037</x:v>
      </x:c>
      <x:c r="B41" s="12" t="str">
        <x:v>mart_channel_performance</x:v>
      </x:c>
      <x:c r="C41" s="12" t="str">
        <x:v>reporting_month</x:v>
      </x:c>
      <x:c r="D41" s="12" t="str">
        <x:v>Reporting mart</x:v>
      </x:c>
      <x:c r="E41" s="12" t="str">
        <x:v>month + channel</x:v>
      </x:c>
      <x:c r="F41" s="12" t="str">
        <x:v>reporting month</x:v>
      </x:c>
      <x:c r="G41" s="12" t="str">
        <x:v>Governed KPI aggregation</x:v>
      </x:c>
      <x:c r="H41" s="12" t="str">
        <x:v>WH-FACT-CAMP.reporting_month</x:v>
      </x:c>
      <x:c r="I41" s="12" t="str">
        <x:v>DATE</x:v>
      </x:c>
      <x:c r="J41" s="12" t="str">
        <x:v>Yes</x:v>
      </x:c>
      <x:c r="K41" s="12" t="str">
        <x:v>Measure/attribute</x:v>
      </x:c>
      <x:c r="L41" s="12" t="str">
        <x:v>dbt model and reconciliation tests</x:v>
      </x:c>
      <x:c r="M41" s="12" t="str">
        <x:v>Semantic/report support</x:v>
      </x:c>
    </x:row>
    <x:row r="42" ht="38" customHeight="1">
      <x:c r="A42" s="12" t="str">
        <x:v>WH-038</x:v>
      </x:c>
      <x:c r="B42" s="12" t="str">
        <x:v>mart_channel_performance</x:v>
      </x:c>
      <x:c r="C42" s="12" t="str">
        <x:v>channel_key</x:v>
      </x:c>
      <x:c r="D42" s="12" t="str">
        <x:v>Reporting mart</x:v>
      </x:c>
      <x:c r="E42" s="12" t="str">
        <x:v>month + channel</x:v>
      </x:c>
      <x:c r="F42" s="12" t="str">
        <x:v>channel key</x:v>
      </x:c>
      <x:c r="G42" s="12" t="str">
        <x:v>Governed KPI aggregation</x:v>
      </x:c>
      <x:c r="H42" s="12" t="str">
        <x:v>WH-FACT-CAMP.channel_key</x:v>
      </x:c>
      <x:c r="I42" s="12" t="str">
        <x:v>STRING</x:v>
      </x:c>
      <x:c r="J42" s="12" t="str">
        <x:v>No</x:v>
      </x:c>
      <x:c r="K42" s="12" t="str">
        <x:v>Primary/foreign key</x:v>
      </x:c>
      <x:c r="L42" s="12" t="str">
        <x:v>not_null / unique where applicable</x:v>
      </x:c>
      <x:c r="M42" s="12" t="str">
        <x:v>Semantic/report support</x:v>
      </x:c>
    </x:row>
    <x:row r="43" ht="38" customHeight="1">
      <x:c r="A43" s="12" t="str">
        <x:v>WH-039</x:v>
      </x:c>
      <x:c r="B43" s="12" t="str">
        <x:v>mart_channel_performance</x:v>
      </x:c>
      <x:c r="C43" s="12" t="str">
        <x:v>spend</x:v>
      </x:c>
      <x:c r="D43" s="12" t="str">
        <x:v>Reporting mart</x:v>
      </x:c>
      <x:c r="E43" s="12" t="str">
        <x:v>month + channel</x:v>
      </x:c>
      <x:c r="F43" s="12" t="str">
        <x:v>spend</x:v>
      </x:c>
      <x:c r="G43" s="12" t="str">
        <x:v>Governed KPI aggregation</x:v>
      </x:c>
      <x:c r="H43" s="12" t="str">
        <x:v>WH-FACT-CAMP.spend</x:v>
      </x:c>
      <x:c r="I43" s="12" t="str">
        <x:v>NUMERIC</x:v>
      </x:c>
      <x:c r="J43" s="12" t="str">
        <x:v>Yes</x:v>
      </x:c>
      <x:c r="K43" s="12" t="str">
        <x:v>Measure/attribute</x:v>
      </x:c>
      <x:c r="L43" s="12" t="str">
        <x:v>dbt model and reconciliation tests</x:v>
      </x:c>
      <x:c r="M43" s="12" t="str">
        <x:v>Governed KPI / Power BI</x:v>
      </x:c>
    </x:row>
    <x:row r="44" ht="38" customHeight="1">
      <x:c r="A44" s="12" t="str">
        <x:v>WH-040</x:v>
      </x:c>
      <x:c r="B44" s="12" t="str">
        <x:v>mart_channel_performance</x:v>
      </x:c>
      <x:c r="C44" s="12" t="str">
        <x:v>clicks</x:v>
      </x:c>
      <x:c r="D44" s="12" t="str">
        <x:v>Reporting mart</x:v>
      </x:c>
      <x:c r="E44" s="12" t="str">
        <x:v>month + channel</x:v>
      </x:c>
      <x:c r="F44" s="12" t="str">
        <x:v>clicks</x:v>
      </x:c>
      <x:c r="G44" s="12" t="str">
        <x:v>Governed KPI aggregation</x:v>
      </x:c>
      <x:c r="H44" s="12" t="str">
        <x:v>WH-FACT-CAMP.clicks</x:v>
      </x:c>
      <x:c r="I44" s="12" t="str">
        <x:v>NUMERIC</x:v>
      </x:c>
      <x:c r="J44" s="12" t="str">
        <x:v>Yes</x:v>
      </x:c>
      <x:c r="K44" s="12" t="str">
        <x:v>Measure/attribute</x:v>
      </x:c>
      <x:c r="L44" s="12" t="str">
        <x:v>dbt model and reconciliation tests</x:v>
      </x:c>
      <x:c r="M44" s="12" t="str">
        <x:v>Semantic/report support</x:v>
      </x:c>
    </x:row>
    <x:row r="45" ht="38" customHeight="1">
      <x:c r="A45" s="12" t="str">
        <x:v>WH-041</x:v>
      </x:c>
      <x:c r="B45" s="12" t="str">
        <x:v>mart_channel_performance</x:v>
      </x:c>
      <x:c r="C45" s="12" t="str">
        <x:v>leads</x:v>
      </x:c>
      <x:c r="D45" s="12" t="str">
        <x:v>Reporting mart</x:v>
      </x:c>
      <x:c r="E45" s="12" t="str">
        <x:v>month + channel</x:v>
      </x:c>
      <x:c r="F45" s="12" t="str">
        <x:v>leads</x:v>
      </x:c>
      <x:c r="G45" s="12" t="str">
        <x:v>Governed KPI aggregation</x:v>
      </x:c>
      <x:c r="H45" s="12" t="str">
        <x:v>WH-FACT-CAMP.leads</x:v>
      </x:c>
      <x:c r="I45" s="12" t="str">
        <x:v>NUMERIC</x:v>
      </x:c>
      <x:c r="J45" s="12" t="str">
        <x:v>Yes</x:v>
      </x:c>
      <x:c r="K45" s="12" t="str">
        <x:v>Measure/attribute</x:v>
      </x:c>
      <x:c r="L45" s="12" t="str">
        <x:v>dbt model and reconciliation tests</x:v>
      </x:c>
      <x:c r="M45" s="12" t="str">
        <x:v>Governed KPI / Power BI</x:v>
      </x:c>
    </x:row>
    <x:row r="46" ht="38" customHeight="1">
      <x:c r="A46" s="12" t="str">
        <x:v>WH-042</x:v>
      </x:c>
      <x:c r="B46" s="12" t="str">
        <x:v>mart_channel_performance</x:v>
      </x:c>
      <x:c r="C46" s="12" t="str">
        <x:v>closed_won_conversions</x:v>
      </x:c>
      <x:c r="D46" s="12" t="str">
        <x:v>Reporting mart</x:v>
      </x:c>
      <x:c r="E46" s="12" t="str">
        <x:v>month + channel</x:v>
      </x:c>
      <x:c r="F46" s="12" t="str">
        <x:v>closed won conversions</x:v>
      </x:c>
      <x:c r="G46" s="12" t="str">
        <x:v>Governed KPI aggregation</x:v>
      </x:c>
      <x:c r="H46" s="12" t="str">
        <x:v>WH-FACT-CAMP.closed_won_conversions</x:v>
      </x:c>
      <x:c r="I46" s="12" t="str">
        <x:v>NUMERIC</x:v>
      </x:c>
      <x:c r="J46" s="12" t="str">
        <x:v>Yes</x:v>
      </x:c>
      <x:c r="K46" s="12" t="str">
        <x:v>Measure/attribute</x:v>
      </x:c>
      <x:c r="L46" s="12" t="str">
        <x:v>dbt model and reconciliation tests</x:v>
      </x:c>
      <x:c r="M46" s="12" t="str">
        <x:v>Governed KPI / Power BI</x:v>
      </x:c>
    </x:row>
    <x:row r="47" ht="38" customHeight="1">
      <x:c r="A47" s="12" t="str">
        <x:v>WH-043</x:v>
      </x:c>
      <x:c r="B47" s="12" t="str">
        <x:v>mart_channel_performance</x:v>
      </x:c>
      <x:c r="C47" s="12" t="str">
        <x:v>booked_revenue</x:v>
      </x:c>
      <x:c r="D47" s="12" t="str">
        <x:v>Reporting mart</x:v>
      </x:c>
      <x:c r="E47" s="12" t="str">
        <x:v>month + channel</x:v>
      </x:c>
      <x:c r="F47" s="12" t="str">
        <x:v>booked revenue</x:v>
      </x:c>
      <x:c r="G47" s="12" t="str">
        <x:v>Governed KPI aggregation</x:v>
      </x:c>
      <x:c r="H47" s="12" t="str">
        <x:v>WH-FACT-CAMP.booked_revenue</x:v>
      </x:c>
      <x:c r="I47" s="12" t="str">
        <x:v>NUMERIC</x:v>
      </x:c>
      <x:c r="J47" s="12" t="str">
        <x:v>Yes</x:v>
      </x:c>
      <x:c r="K47" s="12" t="str">
        <x:v>Measure/attribute</x:v>
      </x:c>
      <x:c r="L47" s="12" t="str">
        <x:v>dbt model and reconciliation tests</x:v>
      </x:c>
      <x:c r="M47" s="12" t="str">
        <x:v>Governed KPI / Power BI</x:v>
      </x:c>
    </x:row>
    <x:row r="48" ht="38" customHeight="1">
      <x:c r="A48" s="12" t="str">
        <x:v>WH-044</x:v>
      </x:c>
      <x:c r="B48" s="12" t="str">
        <x:v>mart_channel_performance</x:v>
      </x:c>
      <x:c r="C48" s="12" t="str">
        <x:v>roas</x:v>
      </x:c>
      <x:c r="D48" s="12" t="str">
        <x:v>Reporting mart</x:v>
      </x:c>
      <x:c r="E48" s="12" t="str">
        <x:v>month + channel</x:v>
      </x:c>
      <x:c r="F48" s="12" t="str">
        <x:v>roas</x:v>
      </x:c>
      <x:c r="G48" s="12" t="str">
        <x:v>Governed KPI aggregation</x:v>
      </x:c>
      <x:c r="H48" s="12" t="str">
        <x:v>WH-FACT-CAMP.roas</x:v>
      </x:c>
      <x:c r="I48" s="12" t="str">
        <x:v>NUMERIC</x:v>
      </x:c>
      <x:c r="J48" s="12" t="str">
        <x:v>Yes</x:v>
      </x:c>
      <x:c r="K48" s="12" t="str">
        <x:v>Measure/attribute</x:v>
      </x:c>
      <x:c r="L48" s="12" t="str">
        <x:v>dbt model and reconciliation tests</x:v>
      </x:c>
      <x:c r="M48" s="12" t="str">
        <x:v>Governed KPI / Power BI</x:v>
      </x:c>
    </x:row>
    <x:row r="49" ht="38" customHeight="1">
      <x:c r="A49" s="12" t="str">
        <x:v>WH-045</x:v>
      </x:c>
      <x:c r="B49" s="12" t="str">
        <x:v>mart_channel_performance</x:v>
      </x:c>
      <x:c r="C49" s="12" t="str">
        <x:v>cac</x:v>
      </x:c>
      <x:c r="D49" s="12" t="str">
        <x:v>Reporting mart</x:v>
      </x:c>
      <x:c r="E49" s="12" t="str">
        <x:v>month + channel</x:v>
      </x:c>
      <x:c r="F49" s="12" t="str">
        <x:v>cac</x:v>
      </x:c>
      <x:c r="G49" s="12" t="str">
        <x:v>Governed KPI aggregation</x:v>
      </x:c>
      <x:c r="H49" s="12" t="str">
        <x:v>WH-FACT-CAMP.cac</x:v>
      </x:c>
      <x:c r="I49" s="12" t="str">
        <x:v>NUMERIC</x:v>
      </x:c>
      <x:c r="J49" s="12" t="str">
        <x:v>Yes</x:v>
      </x:c>
      <x:c r="K49" s="12" t="str">
        <x:v>Measure/attribute</x:v>
      </x:c>
      <x:c r="L49" s="12" t="str">
        <x:v>dbt model and reconciliation tests</x:v>
      </x:c>
      <x:c r="M49" s="12" t="str">
        <x:v>Governed KPI / Power BI</x:v>
      </x:c>
    </x:row>
    <x:row r="50" ht="38" customHeight="1">
      <x:c r="A50" s="12" t="str">
        <x:v>WH-046</x:v>
      </x:c>
      <x:c r="B50" s="12" t="str">
        <x:v>mart_funnel_performance</x:v>
      </x:c>
      <x:c r="C50" s="12" t="str">
        <x:v>reporting_month</x:v>
      </x:c>
      <x:c r="D50" s="12" t="str">
        <x:v>Reporting mart</x:v>
      </x:c>
      <x:c r="E50" s="12" t="str">
        <x:v>month + channel</x:v>
      </x:c>
      <x:c r="F50" s="12" t="str">
        <x:v>reporting month</x:v>
      </x:c>
      <x:c r="G50" s="12" t="str">
        <x:v>Adjacent-stage funnel</x:v>
      </x:c>
      <x:c r="H50" s="12" t="str">
        <x:v>WH-FACT-LEAD.reporting_month</x:v>
      </x:c>
      <x:c r="I50" s="12" t="str">
        <x:v>DATE</x:v>
      </x:c>
      <x:c r="J50" s="12" t="str">
        <x:v>Yes</x:v>
      </x:c>
      <x:c r="K50" s="12" t="str">
        <x:v>Measure/attribute</x:v>
      </x:c>
      <x:c r="L50" s="12" t="str">
        <x:v>dbt model and reconciliation tests</x:v>
      </x:c>
      <x:c r="M50" s="12" t="str">
        <x:v>Semantic/report support</x:v>
      </x:c>
    </x:row>
    <x:row r="51" ht="38" customHeight="1">
      <x:c r="A51" s="12" t="str">
        <x:v>WH-047</x:v>
      </x:c>
      <x:c r="B51" s="12" t="str">
        <x:v>mart_funnel_performance</x:v>
      </x:c>
      <x:c r="C51" s="12" t="str">
        <x:v>total_leads</x:v>
      </x:c>
      <x:c r="D51" s="12" t="str">
        <x:v>Reporting mart</x:v>
      </x:c>
      <x:c r="E51" s="12" t="str">
        <x:v>month + channel</x:v>
      </x:c>
      <x:c r="F51" s="12" t="str">
        <x:v>total leads</x:v>
      </x:c>
      <x:c r="G51" s="12" t="str">
        <x:v>Adjacent-stage funnel</x:v>
      </x:c>
      <x:c r="H51" s="12" t="str">
        <x:v>WH-FACT-LEAD.total_leads</x:v>
      </x:c>
      <x:c r="I51" s="12" t="str">
        <x:v>NUMERIC</x:v>
      </x:c>
      <x:c r="J51" s="12" t="str">
        <x:v>Yes</x:v>
      </x:c>
      <x:c r="K51" s="12" t="str">
        <x:v>Measure/attribute</x:v>
      </x:c>
      <x:c r="L51" s="12" t="str">
        <x:v>dbt model and reconciliation tests</x:v>
      </x:c>
      <x:c r="M51" s="12" t="str">
        <x:v>Governed KPI / Power BI</x:v>
      </x:c>
    </x:row>
    <x:row r="52" ht="38" customHeight="1">
      <x:c r="A52" s="12" t="str">
        <x:v>WH-048</x:v>
      </x:c>
      <x:c r="B52" s="12" t="str">
        <x:v>mart_funnel_performance</x:v>
      </x:c>
      <x:c r="C52" s="12" t="str">
        <x:v>mqls</x:v>
      </x:c>
      <x:c r="D52" s="12" t="str">
        <x:v>Reporting mart</x:v>
      </x:c>
      <x:c r="E52" s="12" t="str">
        <x:v>month + channel</x:v>
      </x:c>
      <x:c r="F52" s="12" t="str">
        <x:v>mqls</x:v>
      </x:c>
      <x:c r="G52" s="12" t="str">
        <x:v>Adjacent-stage funnel</x:v>
      </x:c>
      <x:c r="H52" s="12" t="str">
        <x:v>WH-FACT-LEAD.mqls</x:v>
      </x:c>
      <x:c r="I52" s="12" t="str">
        <x:v>NUMERIC</x:v>
      </x:c>
      <x:c r="J52" s="12" t="str">
        <x:v>Yes</x:v>
      </x:c>
      <x:c r="K52" s="12" t="str">
        <x:v>Measure/attribute</x:v>
      </x:c>
      <x:c r="L52" s="12" t="str">
        <x:v>dbt model and reconciliation tests</x:v>
      </x:c>
      <x:c r="M52" s="12" t="str">
        <x:v>Semantic/report support</x:v>
      </x:c>
    </x:row>
    <x:row r="53" ht="38" customHeight="1">
      <x:c r="A53" s="12" t="str">
        <x:v>WH-049</x:v>
      </x:c>
      <x:c r="B53" s="12" t="str">
        <x:v>mart_funnel_performance</x:v>
      </x:c>
      <x:c r="C53" s="12" t="str">
        <x:v>sales_qualified_leads</x:v>
      </x:c>
      <x:c r="D53" s="12" t="str">
        <x:v>Reporting mart</x:v>
      </x:c>
      <x:c r="E53" s="12" t="str">
        <x:v>month + channel</x:v>
      </x:c>
      <x:c r="F53" s="12" t="str">
        <x:v>sales qualified leads</x:v>
      </x:c>
      <x:c r="G53" s="12" t="str">
        <x:v>Adjacent-stage funnel</x:v>
      </x:c>
      <x:c r="H53" s="12" t="str">
        <x:v>WH-FACT-LEAD.sales_qualified_leads</x:v>
      </x:c>
      <x:c r="I53" s="12" t="str">
        <x:v>NUMERIC</x:v>
      </x:c>
      <x:c r="J53" s="12" t="str">
        <x:v>Yes</x:v>
      </x:c>
      <x:c r="K53" s="12" t="str">
        <x:v>Measure/attribute</x:v>
      </x:c>
      <x:c r="L53" s="12" t="str">
        <x:v>dbt model and reconciliation tests</x:v>
      </x:c>
      <x:c r="M53" s="12" t="str">
        <x:v>Governed KPI / Power BI</x:v>
      </x:c>
    </x:row>
    <x:row r="54" ht="38" customHeight="1">
      <x:c r="A54" s="12" t="str">
        <x:v>WH-050</x:v>
      </x:c>
      <x:c r="B54" s="12" t="str">
        <x:v>mart_funnel_performance</x:v>
      </x:c>
      <x:c r="C54" s="12" t="str">
        <x:v>conversions</x:v>
      </x:c>
      <x:c r="D54" s="12" t="str">
        <x:v>Reporting mart</x:v>
      </x:c>
      <x:c r="E54" s="12" t="str">
        <x:v>month + channel</x:v>
      </x:c>
      <x:c r="F54" s="12" t="str">
        <x:v>conversions</x:v>
      </x:c>
      <x:c r="G54" s="12" t="str">
        <x:v>Adjacent-stage funnel</x:v>
      </x:c>
      <x:c r="H54" s="12" t="str">
        <x:v>WH-FACT-LEAD.conversions</x:v>
      </x:c>
      <x:c r="I54" s="12" t="str">
        <x:v>NUMERIC</x:v>
      </x:c>
      <x:c r="J54" s="12" t="str">
        <x:v>Yes</x:v>
      </x:c>
      <x:c r="K54" s="12" t="str">
        <x:v>Measure/attribute</x:v>
      </x:c>
      <x:c r="L54" s="12" t="str">
        <x:v>dbt model and reconciliation tests</x:v>
      </x:c>
      <x:c r="M54" s="12" t="str">
        <x:v>Governed KPI / Power BI</x:v>
      </x:c>
    </x:row>
    <x:row r="55" ht="38" customHeight="1">
      <x:c r="A55" s="12" t="str">
        <x:v>WH-051</x:v>
      </x:c>
      <x:c r="B55" s="12" t="str">
        <x:v>mart_funnel_performance</x:v>
      </x:c>
      <x:c r="C55" s="12" t="str">
        <x:v>sql_to_close_rate</x:v>
      </x:c>
      <x:c r="D55" s="12" t="str">
        <x:v>Reporting mart</x:v>
      </x:c>
      <x:c r="E55" s="12" t="str">
        <x:v>month + channel</x:v>
      </x:c>
      <x:c r="F55" s="12" t="str">
        <x:v>sql to close rate</x:v>
      </x:c>
      <x:c r="G55" s="12" t="str">
        <x:v>Adjacent-stage funnel</x:v>
      </x:c>
      <x:c r="H55" s="12" t="str">
        <x:v>WH-FACT-LEAD.sql_to_close_rate</x:v>
      </x:c>
      <x:c r="I55" s="12" t="str">
        <x:v>NUMERIC</x:v>
      </x:c>
      <x:c r="J55" s="12" t="str">
        <x:v>Yes</x:v>
      </x:c>
      <x:c r="K55" s="12" t="str">
        <x:v>Measure/attribute</x:v>
      </x:c>
      <x:c r="L55" s="12" t="str">
        <x:v>dbt model and reconciliation tests</x:v>
      </x:c>
      <x:c r="M55" s="12" t="str">
        <x:v>Semantic/report support</x:v>
      </x:c>
    </x:row>
    <x:row r="56" ht="38" customHeight="1">
      <x:c r="A56" s="12" t="str">
        <x:v>WH-052</x:v>
      </x:c>
      <x:c r="B56" s="12" t="str">
        <x:v>mart_attribution_model_comparison</x:v>
      </x:c>
      <x:c r="C56" s="12" t="str">
        <x:v>first_touch_revenue</x:v>
      </x:c>
      <x:c r="D56" s="12" t="str">
        <x:v>Reporting mart</x:v>
      </x:c>
      <x:c r="E56" s="12" t="str">
        <x:v>month + campaign + model</x:v>
      </x:c>
      <x:c r="F56" s="12" t="str">
        <x:v>first touch revenue</x:v>
      </x:c>
      <x:c r="G56" s="12" t="str">
        <x:v>Attribution comparison</x:v>
      </x:c>
      <x:c r="H56" s="12" t="str">
        <x:v>WH-FACT-ATTR.first_touch_revenue</x:v>
      </x:c>
      <x:c r="I56" s="12" t="str">
        <x:v>NUMERIC</x:v>
      </x:c>
      <x:c r="J56" s="12" t="str">
        <x:v>Yes</x:v>
      </x:c>
      <x:c r="K56" s="12" t="str">
        <x:v>Measure/attribute</x:v>
      </x:c>
      <x:c r="L56" s="12" t="str">
        <x:v>dbt model and reconciliation tests</x:v>
      </x:c>
      <x:c r="M56" s="12" t="str">
        <x:v>Governed KPI / Power BI</x:v>
      </x:c>
    </x:row>
    <x:row r="57" ht="38" customHeight="1">
      <x:c r="A57" s="12" t="str">
        <x:v>WH-053</x:v>
      </x:c>
      <x:c r="B57" s="12" t="str">
        <x:v>mart_attribution_model_comparison</x:v>
      </x:c>
      <x:c r="C57" s="12" t="str">
        <x:v>last_touch_revenue</x:v>
      </x:c>
      <x:c r="D57" s="12" t="str">
        <x:v>Reporting mart</x:v>
      </x:c>
      <x:c r="E57" s="12" t="str">
        <x:v>month + campaign + model</x:v>
      </x:c>
      <x:c r="F57" s="12" t="str">
        <x:v>last touch revenue</x:v>
      </x:c>
      <x:c r="G57" s="12" t="str">
        <x:v>Attribution comparison</x:v>
      </x:c>
      <x:c r="H57" s="12" t="str">
        <x:v>WH-FACT-ATTR.last_touch_revenue</x:v>
      </x:c>
      <x:c r="I57" s="12" t="str">
        <x:v>NUMERIC</x:v>
      </x:c>
      <x:c r="J57" s="12" t="str">
        <x:v>Yes</x:v>
      </x:c>
      <x:c r="K57" s="12" t="str">
        <x:v>Measure/attribute</x:v>
      </x:c>
      <x:c r="L57" s="12" t="str">
        <x:v>dbt model and reconciliation tests</x:v>
      </x:c>
      <x:c r="M57" s="12" t="str">
        <x:v>Governed KPI / Power BI</x:v>
      </x:c>
    </x:row>
    <x:row r="58" ht="38" customHeight="1">
      <x:c r="A58" s="12" t="str">
        <x:v>WH-054</x:v>
      </x:c>
      <x:c r="B58" s="12" t="str">
        <x:v>mart_attribution_model_comparison</x:v>
      </x:c>
      <x:c r="C58" s="12" t="str">
        <x:v>linear_revenue</x:v>
      </x:c>
      <x:c r="D58" s="12" t="str">
        <x:v>Reporting mart</x:v>
      </x:c>
      <x:c r="E58" s="12" t="str">
        <x:v>month + campaign + model</x:v>
      </x:c>
      <x:c r="F58" s="12" t="str">
        <x:v>linear revenue</x:v>
      </x:c>
      <x:c r="G58" s="12" t="str">
        <x:v>Attribution comparison</x:v>
      </x:c>
      <x:c r="H58" s="12" t="str">
        <x:v>WH-FACT-ATTR.linear_revenue</x:v>
      </x:c>
      <x:c r="I58" s="12" t="str">
        <x:v>NUMERIC</x:v>
      </x:c>
      <x:c r="J58" s="12" t="str">
        <x:v>Yes</x:v>
      </x:c>
      <x:c r="K58" s="12" t="str">
        <x:v>Measure/attribute</x:v>
      </x:c>
      <x:c r="L58" s="12" t="str">
        <x:v>dbt model and reconciliation tests</x:v>
      </x:c>
      <x:c r="M58" s="12" t="str">
        <x:v>Governed KPI / Power BI</x:v>
      </x:c>
    </x:row>
    <x:row r="59" ht="38" customHeight="1">
      <x:c r="A59" s="12" t="str">
        <x:v>WH-055</x:v>
      </x:c>
      <x:c r="B59" s="12" t="str">
        <x:v>mart_attribution_model_comparison</x:v>
      </x:c>
      <x:c r="C59" s="12" t="str">
        <x:v>time_decay_revenue</x:v>
      </x:c>
      <x:c r="D59" s="12" t="str">
        <x:v>Reporting mart</x:v>
      </x:c>
      <x:c r="E59" s="12" t="str">
        <x:v>month + campaign + model</x:v>
      </x:c>
      <x:c r="F59" s="12" t="str">
        <x:v>time decay revenue</x:v>
      </x:c>
      <x:c r="G59" s="12" t="str">
        <x:v>Attribution comparison</x:v>
      </x:c>
      <x:c r="H59" s="12" t="str">
        <x:v>WH-FACT-ATTR.time_decay_revenue</x:v>
      </x:c>
      <x:c r="I59" s="12" t="str">
        <x:v>NUMERIC</x:v>
      </x:c>
      <x:c r="J59" s="12" t="str">
        <x:v>Yes</x:v>
      </x:c>
      <x:c r="K59" s="12" t="str">
        <x:v>Measure/attribute</x:v>
      </x:c>
      <x:c r="L59" s="12" t="str">
        <x:v>dbt model and reconciliation tests</x:v>
      </x:c>
      <x:c r="M59" s="12" t="str">
        <x:v>Governed KPI / Power BI</x:v>
      </x:c>
    </x:row>
    <x:row r="60" ht="38" customHeight="1">
      <x:c r="A60" s="12" t="str">
        <x:v>WH-056</x:v>
      </x:c>
      <x:c r="B60" s="12" t="str">
        <x:v>mart_target_vs_actual</x:v>
      </x:c>
      <x:c r="C60" s="12" t="str">
        <x:v>target_spend</x:v>
      </x:c>
      <x:c r="D60" s="12" t="str">
        <x:v>Reporting mart</x:v>
      </x:c>
      <x:c r="E60" s="12" t="str">
        <x:v>month + region + channel</x:v>
      </x:c>
      <x:c r="F60" s="12" t="str">
        <x:v>target spend</x:v>
      </x:c>
      <x:c r="G60" s="12" t="str">
        <x:v>Target/actual reconciliation</x:v>
      </x:c>
      <x:c r="H60" s="12" t="str">
        <x:v>SRC-TGT.target_spend</x:v>
      </x:c>
      <x:c r="I60" s="12" t="str">
        <x:v>NUMERIC</x:v>
      </x:c>
      <x:c r="J60" s="12" t="str">
        <x:v>Yes</x:v>
      </x:c>
      <x:c r="K60" s="12" t="str">
        <x:v>Measure/attribute</x:v>
      </x:c>
      <x:c r="L60" s="12" t="str">
        <x:v>dbt model and reconciliation tests</x:v>
      </x:c>
      <x:c r="M60" s="12" t="str">
        <x:v>Governed KPI / Power BI</x:v>
      </x:c>
    </x:row>
    <x:row r="61" ht="38" customHeight="1">
      <x:c r="A61" s="12" t="str">
        <x:v>WH-057</x:v>
      </x:c>
      <x:c r="B61" s="12" t="str">
        <x:v>mart_target_vs_actual</x:v>
      </x:c>
      <x:c r="C61" s="12" t="str">
        <x:v>actual_spend</x:v>
      </x:c>
      <x:c r="D61" s="12" t="str">
        <x:v>Reporting mart</x:v>
      </x:c>
      <x:c r="E61" s="12" t="str">
        <x:v>month + region + channel</x:v>
      </x:c>
      <x:c r="F61" s="12" t="str">
        <x:v>actual spend</x:v>
      </x:c>
      <x:c r="G61" s="12" t="str">
        <x:v>Target/actual reconciliation</x:v>
      </x:c>
      <x:c r="H61" s="12" t="str">
        <x:v>SRC-TGT.actual_spend</x:v>
      </x:c>
      <x:c r="I61" s="12" t="str">
        <x:v>NUMERIC</x:v>
      </x:c>
      <x:c r="J61" s="12" t="str">
        <x:v>Yes</x:v>
      </x:c>
      <x:c r="K61" s="12" t="str">
        <x:v>Measure/attribute</x:v>
      </x:c>
      <x:c r="L61" s="12" t="str">
        <x:v>dbt model and reconciliation tests</x:v>
      </x:c>
      <x:c r="M61" s="12" t="str">
        <x:v>Governed KPI / Power BI</x:v>
      </x:c>
    </x:row>
    <x:row r="62" ht="38" customHeight="1">
      <x:c r="A62" s="12" t="str">
        <x:v>WH-058</x:v>
      </x:c>
      <x:c r="B62" s="12" t="str">
        <x:v>mart_target_vs_actual</x:v>
      </x:c>
      <x:c r="C62" s="12" t="str">
        <x:v>target_revenue</x:v>
      </x:c>
      <x:c r="D62" s="12" t="str">
        <x:v>Reporting mart</x:v>
      </x:c>
      <x:c r="E62" s="12" t="str">
        <x:v>month + region + channel</x:v>
      </x:c>
      <x:c r="F62" s="12" t="str">
        <x:v>target revenue</x:v>
      </x:c>
      <x:c r="G62" s="12" t="str">
        <x:v>Target/actual reconciliation</x:v>
      </x:c>
      <x:c r="H62" s="12" t="str">
        <x:v>SRC-TGT.target_revenue</x:v>
      </x:c>
      <x:c r="I62" s="12" t="str">
        <x:v>NUMERIC</x:v>
      </x:c>
      <x:c r="J62" s="12" t="str">
        <x:v>Yes</x:v>
      </x:c>
      <x:c r="K62" s="12" t="str">
        <x:v>Measure/attribute</x:v>
      </x:c>
      <x:c r="L62" s="12" t="str">
        <x:v>dbt model and reconciliation tests</x:v>
      </x:c>
      <x:c r="M62" s="12" t="str">
        <x:v>Governed KPI / Power BI</x:v>
      </x:c>
    </x:row>
    <x:row r="63" ht="38" customHeight="1">
      <x:c r="A63" s="12" t="str">
        <x:v>WH-059</x:v>
      </x:c>
      <x:c r="B63" s="12" t="str">
        <x:v>mart_target_vs_actual</x:v>
      </x:c>
      <x:c r="C63" s="12" t="str">
        <x:v>actual_revenue</x:v>
      </x:c>
      <x:c r="D63" s="12" t="str">
        <x:v>Reporting mart</x:v>
      </x:c>
      <x:c r="E63" s="12" t="str">
        <x:v>month + region + channel</x:v>
      </x:c>
      <x:c r="F63" s="12" t="str">
        <x:v>actual revenue</x:v>
      </x:c>
      <x:c r="G63" s="12" t="str">
        <x:v>Target/actual reconciliation</x:v>
      </x:c>
      <x:c r="H63" s="12" t="str">
        <x:v>SRC-TGT.actual_revenue</x:v>
      </x:c>
      <x:c r="I63" s="12" t="str">
        <x:v>NUMERIC</x:v>
      </x:c>
      <x:c r="J63" s="12" t="str">
        <x:v>Yes</x:v>
      </x:c>
      <x:c r="K63" s="12" t="str">
        <x:v>Measure/attribute</x:v>
      </x:c>
      <x:c r="L63" s="12" t="str">
        <x:v>dbt model and reconciliation tests</x:v>
      </x:c>
      <x:c r="M63" s="12" t="str">
        <x:v>Governed KPI / Power BI</x:v>
      </x:c>
    </x:row>
    <x:row r="64" ht="38" customHeight="1">
      <x:c r="A64" s="12" t="str">
        <x:v>WH-060</x:v>
      </x:c>
      <x:c r="B64" s="12" t="str">
        <x:v>mart_target_vs_actual</x:v>
      </x:c>
      <x:c r="C64" s="12" t="str">
        <x:v>revenue_attainment</x:v>
      </x:c>
      <x:c r="D64" s="12" t="str">
        <x:v>Reporting mart</x:v>
      </x:c>
      <x:c r="E64" s="12" t="str">
        <x:v>month + region + channel</x:v>
      </x:c>
      <x:c r="F64" s="12" t="str">
        <x:v>revenue attainment</x:v>
      </x:c>
      <x:c r="G64" s="12" t="str">
        <x:v>Target/actual reconciliation</x:v>
      </x:c>
      <x:c r="H64" s="12" t="str">
        <x:v>SRC-TGT.revenue_attainment</x:v>
      </x:c>
      <x:c r="I64" s="12" t="str">
        <x:v>NUMERIC</x:v>
      </x:c>
      <x:c r="J64" s="12" t="str">
        <x:v>Yes</x:v>
      </x:c>
      <x:c r="K64" s="12" t="str">
        <x:v>Measure/attribute</x:v>
      </x:c>
      <x:c r="L64" s="12" t="str">
        <x:v>dbt model and reconciliation tests</x:v>
      </x:c>
      <x:c r="M64" s="12" t="str">
        <x:v>Governed KPI / Power BI</x:v>
      </x:c>
    </x:row>
    <x:row r="65" ht="38" customHeight="1">
      <x:c r="A65" s="12" t="str">
        <x:v>WH-061</x:v>
      </x:c>
      <x:c r="B65" s="12" t="str">
        <x:v>mart_ga4_live_funnel</x:v>
      </x:c>
      <x:c r="C65" s="12" t="str">
        <x:v>sessions</x:v>
      </x:c>
      <x:c r="D65" s="12" t="str">
        <x:v>Reporting mart</x:v>
      </x:c>
      <x:c r="E65" s="12" t="str">
        <x:v>date + acquisition</x:v>
      </x:c>
      <x:c r="F65" s="12" t="str">
        <x:v>sessions</x:v>
      </x:c>
      <x:c r="G65" s="12" t="str">
        <x:v>Session funnel aggregation</x:v>
      </x:c>
      <x:c r="H65" s="12" t="str">
        <x:v>WH-INT-GA4.sessions</x:v>
      </x:c>
      <x:c r="I65" s="12" t="str">
        <x:v>NUMERIC</x:v>
      </x:c>
      <x:c r="J65" s="12" t="str">
        <x:v>Yes</x:v>
      </x:c>
      <x:c r="K65" s="12" t="str">
        <x:v>Measure/attribute</x:v>
      </x:c>
      <x:c r="L65" s="12" t="str">
        <x:v>dbt model and reconciliation tests</x:v>
      </x:c>
      <x:c r="M65" s="12" t="str">
        <x:v>Governed KPI / Power BI</x:v>
      </x:c>
    </x:row>
    <x:row r="66" ht="38" customHeight="1">
      <x:c r="A66" s="12" t="str">
        <x:v>WH-062</x:v>
      </x:c>
      <x:c r="B66" s="12" t="str">
        <x:v>mart_ga4_live_funnel</x:v>
      </x:c>
      <x:c r="C66" s="12" t="str">
        <x:v>engaged_sessions</x:v>
      </x:c>
      <x:c r="D66" s="12" t="str">
        <x:v>Reporting mart</x:v>
      </x:c>
      <x:c r="E66" s="12" t="str">
        <x:v>date + acquisition</x:v>
      </x:c>
      <x:c r="F66" s="12" t="str">
        <x:v>engaged sessions</x:v>
      </x:c>
      <x:c r="G66" s="12" t="str">
        <x:v>Session funnel aggregation</x:v>
      </x:c>
      <x:c r="H66" s="12" t="str">
        <x:v>WH-INT-GA4.engaged_sessions</x:v>
      </x:c>
      <x:c r="I66" s="12" t="str">
        <x:v>NUMERIC</x:v>
      </x:c>
      <x:c r="J66" s="12" t="str">
        <x:v>Yes</x:v>
      </x:c>
      <x:c r="K66" s="12" t="str">
        <x:v>Measure/attribute</x:v>
      </x:c>
      <x:c r="L66" s="12" t="str">
        <x:v>dbt model and reconciliation tests</x:v>
      </x:c>
      <x:c r="M66" s="12" t="str">
        <x:v>Governed KPI / Power BI</x:v>
      </x:c>
    </x:row>
    <x:row r="67" ht="38" customHeight="1">
      <x:c r="A67" s="12" t="str">
        <x:v>WH-063</x:v>
      </x:c>
      <x:c r="B67" s="12" t="str">
        <x:v>mart_ga4_live_funnel</x:v>
      </x:c>
      <x:c r="C67" s="12" t="str">
        <x:v>view_item_sessions</x:v>
      </x:c>
      <x:c r="D67" s="12" t="str">
        <x:v>Reporting mart</x:v>
      </x:c>
      <x:c r="E67" s="12" t="str">
        <x:v>date + acquisition</x:v>
      </x:c>
      <x:c r="F67" s="12" t="str">
        <x:v>view item sessions</x:v>
      </x:c>
      <x:c r="G67" s="12" t="str">
        <x:v>Session funnel aggregation</x:v>
      </x:c>
      <x:c r="H67" s="12" t="str">
        <x:v>WH-INT-GA4.view_item_sessions</x:v>
      </x:c>
      <x:c r="I67" s="12" t="str">
        <x:v>NUMERIC</x:v>
      </x:c>
      <x:c r="J67" s="12" t="str">
        <x:v>Yes</x:v>
      </x:c>
      <x:c r="K67" s="12" t="str">
        <x:v>Measure/attribute</x:v>
      </x:c>
      <x:c r="L67" s="12" t="str">
        <x:v>dbt model and reconciliation tests</x:v>
      </x:c>
      <x:c r="M67" s="12" t="str">
        <x:v>Governed KPI / Power BI</x:v>
      </x:c>
    </x:row>
    <x:row r="68" ht="38" customHeight="1">
      <x:c r="A68" s="12" t="str">
        <x:v>WH-064</x:v>
      </x:c>
      <x:c r="B68" s="12" t="str">
        <x:v>mart_ga4_live_funnel</x:v>
      </x:c>
      <x:c r="C68" s="12" t="str">
        <x:v>purchase_sessions</x:v>
      </x:c>
      <x:c r="D68" s="12" t="str">
        <x:v>Reporting mart</x:v>
      </x:c>
      <x:c r="E68" s="12" t="str">
        <x:v>date + acquisition</x:v>
      </x:c>
      <x:c r="F68" s="12" t="str">
        <x:v>purchase sessions</x:v>
      </x:c>
      <x:c r="G68" s="12" t="str">
        <x:v>Session funnel aggregation</x:v>
      </x:c>
      <x:c r="H68" s="12" t="str">
        <x:v>WH-INT-GA4.purchase_sessions</x:v>
      </x:c>
      <x:c r="I68" s="12" t="str">
        <x:v>NUMERIC</x:v>
      </x:c>
      <x:c r="J68" s="12" t="str">
        <x:v>Yes</x:v>
      </x:c>
      <x:c r="K68" s="12" t="str">
        <x:v>Measure/attribute</x:v>
      </x:c>
      <x:c r="L68" s="12" t="str">
        <x:v>dbt model and reconciliation tests</x:v>
      </x:c>
      <x:c r="M68" s="12" t="str">
        <x:v>Governed KPI / Power BI</x:v>
      </x:c>
    </x:row>
    <x:row r="69" ht="38" customHeight="1">
      <x:c r="A69" s="12" t="str">
        <x:v>WH-065</x:v>
      </x:c>
      <x:c r="B69" s="12" t="str">
        <x:v>mart_ga4_live_funnel</x:v>
      </x:c>
      <x:c r="C69" s="12" t="str">
        <x:v>purchase_value</x:v>
      </x:c>
      <x:c r="D69" s="12" t="str">
        <x:v>Reporting mart</x:v>
      </x:c>
      <x:c r="E69" s="12" t="str">
        <x:v>date + acquisition</x:v>
      </x:c>
      <x:c r="F69" s="12" t="str">
        <x:v>purchase value</x:v>
      </x:c>
      <x:c r="G69" s="12" t="str">
        <x:v>Session funnel aggregation</x:v>
      </x:c>
      <x:c r="H69" s="12" t="str">
        <x:v>WH-INT-GA4.purchase_value</x:v>
      </x:c>
      <x:c r="I69" s="12" t="str">
        <x:v>NUMERIC</x:v>
      </x:c>
      <x:c r="J69" s="12" t="str">
        <x:v>Yes</x:v>
      </x:c>
      <x:c r="K69" s="12" t="str">
        <x:v>Measure/attribute</x:v>
      </x:c>
      <x:c r="L69" s="12" t="str">
        <x:v>dbt model and reconciliation tests</x:v>
      </x:c>
      <x:c r="M69" s="12" t="str">
        <x:v>Semantic/report support</x:v>
      </x:c>
    </x:row>
    <x:row r="70" ht="38" customHeight="1">
      <x:c r="A70" s="12" t="str">
        <x:v>WH-066</x:v>
      </x:c>
      <x:c r="B70" s="12" t="str">
        <x:v>mart_ga4_live_funnel</x:v>
      </x:c>
      <x:c r="C70" s="12" t="str">
        <x:v>overall_purchase_session_rate</x:v>
      </x:c>
      <x:c r="D70" s="12" t="str">
        <x:v>Reporting mart</x:v>
      </x:c>
      <x:c r="E70" s="12" t="str">
        <x:v>date + acquisition</x:v>
      </x:c>
      <x:c r="F70" s="12" t="str">
        <x:v>overall purchase session rate</x:v>
      </x:c>
      <x:c r="G70" s="12" t="str">
        <x:v>Session funnel aggregation</x:v>
      </x:c>
      <x:c r="H70" s="12" t="str">
        <x:v>WH-INT-GA4.overall_purchase_session_rate</x:v>
      </x:c>
      <x:c r="I70" s="12" t="str">
        <x:v>NUMERIC</x:v>
      </x:c>
      <x:c r="J70" s="12" t="str">
        <x:v>Yes</x:v>
      </x:c>
      <x:c r="K70" s="12" t="str">
        <x:v>Measure/attribute</x:v>
      </x:c>
      <x:c r="L70" s="12" t="str">
        <x:v>dbt model and reconciliation tests</x:v>
      </x:c>
      <x:c r="M70" s="12" t="str">
        <x:v>Governed KPI / Power BI</x:v>
      </x:c>
    </x:row>
    <x:row r="71" ht="38" customHeight="1">
      <x:c r="A71" s="12" t="str">
        <x:v>WH-067</x:v>
      </x:c>
      <x:c r="B71" s="12" t="str">
        <x:v>mart_budget_scenarios</x:v>
      </x:c>
      <x:c r="C71" s="12" t="str">
        <x:v>scenario_name</x:v>
      </x:c>
      <x:c r="D71" s="12" t="str">
        <x:v>Semantic export</x:v>
      </x:c>
      <x:c r="E71" s="12" t="str">
        <x:v>scenario + channel</x:v>
      </x:c>
      <x:c r="F71" s="12" t="str">
        <x:v>scenario name</x:v>
      </x:c>
      <x:c r="G71" s="12" t="str">
        <x:v>Deterministic simulation</x:v>
      </x:c>
      <x:c r="H71" s="12" t="str">
        <x:v>WH-MART-CHANNEL.scenario_name</x:v>
      </x:c>
      <x:c r="I71" s="12" t="str">
        <x:v>STRING</x:v>
      </x:c>
      <x:c r="J71" s="12" t="str">
        <x:v>Yes</x:v>
      </x:c>
      <x:c r="K71" s="12" t="str">
        <x:v>Measure/attribute</x:v>
      </x:c>
      <x:c r="L71" s="12" t="str">
        <x:v>dbt model and reconciliation tests</x:v>
      </x:c>
      <x:c r="M71" s="12" t="str">
        <x:v>Semantic/report support</x:v>
      </x:c>
    </x:row>
    <x:row r="72" ht="38" customHeight="1">
      <x:c r="A72" s="12" t="str">
        <x:v>WH-068</x:v>
      </x:c>
      <x:c r="B72" s="12" t="str">
        <x:v>mart_budget_scenarios</x:v>
      </x:c>
      <x:c r="C72" s="12" t="str">
        <x:v>channel_budget</x:v>
      </x:c>
      <x:c r="D72" s="12" t="str">
        <x:v>Semantic export</x:v>
      </x:c>
      <x:c r="E72" s="12" t="str">
        <x:v>scenario + channel</x:v>
      </x:c>
      <x:c r="F72" s="12" t="str">
        <x:v>channel budget</x:v>
      </x:c>
      <x:c r="G72" s="12" t="str">
        <x:v>Deterministic simulation</x:v>
      </x:c>
      <x:c r="H72" s="12" t="str">
        <x:v>WH-MART-CHANNEL.channel_budget</x:v>
      </x:c>
      <x:c r="I72" s="12" t="str">
        <x:v>NUMERIC</x:v>
      </x:c>
      <x:c r="J72" s="12" t="str">
        <x:v>Yes</x:v>
      </x:c>
      <x:c r="K72" s="12" t="str">
        <x:v>Measure/attribute</x:v>
      </x:c>
      <x:c r="L72" s="12" t="str">
        <x:v>dbt model and reconciliation tests</x:v>
      </x:c>
      <x:c r="M72" s="12" t="str">
        <x:v>Semantic/report support</x:v>
      </x:c>
    </x:row>
    <x:row r="73" ht="38" customHeight="1">
      <x:c r="A73" s="12" t="str">
        <x:v>WH-069</x:v>
      </x:c>
      <x:c r="B73" s="12" t="str">
        <x:v>mart_budget_scenarios</x:v>
      </x:c>
      <x:c r="C73" s="12" t="str">
        <x:v>projected_revenue</x:v>
      </x:c>
      <x:c r="D73" s="12" t="str">
        <x:v>Semantic export</x:v>
      </x:c>
      <x:c r="E73" s="12" t="str">
        <x:v>scenario + channel</x:v>
      </x:c>
      <x:c r="F73" s="12" t="str">
        <x:v>projected revenue</x:v>
      </x:c>
      <x:c r="G73" s="12" t="str">
        <x:v>Deterministic simulation</x:v>
      </x:c>
      <x:c r="H73" s="12" t="str">
        <x:v>WH-MART-CHANNEL.projected_revenue</x:v>
      </x:c>
      <x:c r="I73" s="12" t="str">
        <x:v>NUMERIC</x:v>
      </x:c>
      <x:c r="J73" s="12" t="str">
        <x:v>Yes</x:v>
      </x:c>
      <x:c r="K73" s="12" t="str">
        <x:v>Measure/attribute</x:v>
      </x:c>
      <x:c r="L73" s="12" t="str">
        <x:v>dbt model and reconciliation tests</x:v>
      </x:c>
      <x:c r="M73" s="12" t="str">
        <x:v>Governed KPI / Power BI</x:v>
      </x:c>
    </x:row>
    <x:row r="74" ht="38" customHeight="1">
      <x:c r="A74" s="12" t="str">
        <x:v>WH-070</x:v>
      </x:c>
      <x:c r="B74" s="12" t="str">
        <x:v>mart_budget_scenarios</x:v>
      </x:c>
      <x:c r="C74" s="12" t="str">
        <x:v>projected_customers</x:v>
      </x:c>
      <x:c r="D74" s="12" t="str">
        <x:v>Semantic export</x:v>
      </x:c>
      <x:c r="E74" s="12" t="str">
        <x:v>scenario + channel</x:v>
      </x:c>
      <x:c r="F74" s="12" t="str">
        <x:v>projected customers</x:v>
      </x:c>
      <x:c r="G74" s="12" t="str">
        <x:v>Deterministic simulation</x:v>
      </x:c>
      <x:c r="H74" s="12" t="str">
        <x:v>WH-MART-CHANNEL.projected_customers</x:v>
      </x:c>
      <x:c r="I74" s="12" t="str">
        <x:v>NUMERIC</x:v>
      </x:c>
      <x:c r="J74" s="12" t="str">
        <x:v>Yes</x:v>
      </x:c>
      <x:c r="K74" s="12" t="str">
        <x:v>Measure/attribute</x:v>
      </x:c>
      <x:c r="L74" s="12" t="str">
        <x:v>dbt model and reconciliation tests</x:v>
      </x:c>
      <x:c r="M74" s="12" t="str">
        <x:v>Semantic/report support</x:v>
      </x:c>
    </x:row>
    <x:row r="75" ht="38" customHeight="1">
      <x:c r="A75" s="12" t="str">
        <x:v>WH-071</x:v>
      </x:c>
      <x:c r="B75" s="12" t="str">
        <x:v>mart_budget_scenarios</x:v>
      </x:c>
      <x:c r="C75" s="12" t="str">
        <x:v>projected_cac</x:v>
      </x:c>
      <x:c r="D75" s="12" t="str">
        <x:v>Semantic export</x:v>
      </x:c>
      <x:c r="E75" s="12" t="str">
        <x:v>scenario + channel</x:v>
      </x:c>
      <x:c r="F75" s="12" t="str">
        <x:v>projected cac</x:v>
      </x:c>
      <x:c r="G75" s="12" t="str">
        <x:v>Deterministic simulation</x:v>
      </x:c>
      <x:c r="H75" s="12" t="str">
        <x:v>WH-MART-CHANNEL.projected_cac</x:v>
      </x:c>
      <x:c r="I75" s="12" t="str">
        <x:v>NUMERIC</x:v>
      </x:c>
      <x:c r="J75" s="12" t="str">
        <x:v>Yes</x:v>
      </x:c>
      <x:c r="K75" s="12" t="str">
        <x:v>Measure/attribute</x:v>
      </x:c>
      <x:c r="L75" s="12" t="str">
        <x:v>dbt model and reconciliation tests</x:v>
      </x:c>
      <x:c r="M75" s="12" t="str">
        <x:v>Governed KPI / Power BI</x:v>
      </x:c>
    </x:row>
    <x:row r="76" ht="38" customHeight="1">
      <x:c r="A76" s="12" t="str">
        <x:v>WH-072</x:v>
      </x:c>
      <x:c r="B76" s="12" t="str">
        <x:v>mart_budget_scenarios</x:v>
      </x:c>
      <x:c r="C76" s="12" t="str">
        <x:v>projected_roas</x:v>
      </x:c>
      <x:c r="D76" s="12" t="str">
        <x:v>Semantic export</x:v>
      </x:c>
      <x:c r="E76" s="12" t="str">
        <x:v>scenario + channel</x:v>
      </x:c>
      <x:c r="F76" s="12" t="str">
        <x:v>projected roas</x:v>
      </x:c>
      <x:c r="G76" s="12" t="str">
        <x:v>Deterministic simulation</x:v>
      </x:c>
      <x:c r="H76" s="12" t="str">
        <x:v>WH-MART-CHANNEL.projected_roas</x:v>
      </x:c>
      <x:c r="I76" s="12" t="str">
        <x:v>NUMERIC</x:v>
      </x:c>
      <x:c r="J76" s="12" t="str">
        <x:v>Yes</x:v>
      </x:c>
      <x:c r="K76" s="12" t="str">
        <x:v>Measure/attribute</x:v>
      </x:c>
      <x:c r="L76" s="12" t="str">
        <x:v>dbt model and reconciliation tests</x:v>
      </x:c>
      <x:c r="M76" s="12" t="str">
        <x:v>Governed KPI / Power BI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bf8d370a8526446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0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30" hidden="0" customWidth="1"/>
  </x:cols>
  <x:sheetData>
    <x:row r="1" ht="30" customHeight="1">
      <x:c r="A1" s="2" t="str">
        <x:v>Enterprise Data Dictionary — KPIs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32" customHeight="1">
      <x:c r="A2" s="5" t="str">
        <x:v>Twenty-two governed business metrics mapped to actual marts, DAX and report surfaces.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</x:row>
    <x:row r="4" ht="32" customHeight="1">
      <x:c r="A4" s="9" t="str">
        <x:v>KPI ID</x:v>
      </x:c>
      <x:c r="B4" s="9" t="str">
        <x:v>KPI</x:v>
      </x:c>
      <x:c r="C4" s="9" t="str">
        <x:v>Business Definition</x:v>
      </x:c>
      <x:c r="D4" s="9" t="str">
        <x:v>Formula</x:v>
      </x:c>
      <x:c r="E4" s="9" t="str">
        <x:v>Numerator</x:v>
      </x:c>
      <x:c r="F4" s="9" t="str">
        <x:v>Denominator</x:v>
      </x:c>
      <x:c r="G4" s="9" t="str">
        <x:v>Grain</x:v>
      </x:c>
      <x:c r="H4" s="9" t="str">
        <x:v>Time Grain</x:v>
      </x:c>
      <x:c r="I4" s="9" t="str">
        <x:v>Allowed Filters</x:v>
      </x:c>
      <x:c r="J4" s="9" t="str">
        <x:v>Source of Truth</x:v>
      </x:c>
      <x:c r="K4" s="9" t="str">
        <x:v>dbt Model</x:v>
      </x:c>
      <x:c r="L4" s="9" t="str">
        <x:v>DAX Measure</x:v>
      </x:c>
      <x:c r="M4" s="9" t="str">
        <x:v>Dashboard Page</x:v>
      </x:c>
      <x:c r="N4" s="9" t="str">
        <x:v>Owner / Persona</x:v>
      </x:c>
      <x:c r="O4" s="9" t="str">
        <x:v>Validation</x:v>
      </x:c>
      <x:c r="P4" s="9" t="str">
        <x:v>Known Limitations</x:v>
      </x:c>
    </x:row>
    <x:row r="5" ht="38" customHeight="1">
      <x:c r="A5" s="12" t="str">
        <x:v>KPI-001</x:v>
      </x:c>
      <x:c r="B5" s="12" t="str">
        <x:v>Spend</x:v>
      </x:c>
      <x:c r="C5" s="12" t="str">
        <x:v>Total marketing spend</x:v>
      </x:c>
      <x:c r="D5" s="12" t="str">
        <x:v>SUM(spend)</x:v>
      </x:c>
      <x:c r="E5" s="12" t="str">
        <x:v>spend</x:v>
      </x:c>
      <x:c r="F5" s="12" t="str">
        <x:v>—</x:v>
      </x:c>
      <x:c r="G5" s="12" t="str">
        <x:v>Month/channel</x:v>
      </x:c>
      <x:c r="H5" s="12" t="str">
        <x:v>Month</x:v>
      </x:c>
      <x:c r="I5" s="12" t="str">
        <x:v>Date; Channel; Campaign</x:v>
      </x:c>
      <x:c r="J5" s="12" t="str">
        <x:v>mart_channel_performance</x:v>
      </x:c>
      <x:c r="K5" s="12" t="str">
        <x:v>mart_channel_performance</x:v>
      </x:c>
      <x:c r="L5" s="12" t="str">
        <x:v>Total Spend</x:v>
      </x:c>
      <x:c r="M5" s="12" t="str">
        <x:v>Executive Overview</x:v>
      </x:c>
      <x:c r="N5" s="12" t="str">
        <x:v>Marketing Analytics Manager</x:v>
      </x:c>
      <x:c r="O5" s="12" t="str">
        <x:v>dbt tests + reconciliation</x:v>
      </x:c>
      <x:c r="P5" s="12" t="str">
        <x:v>Ratios are zero-safe; simulations and diagnostics are non-causal</x:v>
      </x:c>
    </x:row>
    <x:row r="6" ht="38" customHeight="1">
      <x:c r="A6" s="12" t="str">
        <x:v>KPI-002</x:v>
      </x:c>
      <x:c r="B6" s="12" t="str">
        <x:v>Impressions</x:v>
      </x:c>
      <x:c r="C6" s="12" t="str">
        <x:v>Served ad impressions</x:v>
      </x:c>
      <x:c r="D6" s="12" t="str">
        <x:v>SUM(impressions)</x:v>
      </x:c>
      <x:c r="E6" s="12" t="str">
        <x:v>impressions</x:v>
      </x:c>
      <x:c r="F6" s="12" t="str">
        <x:v>—</x:v>
      </x:c>
      <x:c r="G6" s="12" t="str">
        <x:v>Month/channel</x:v>
      </x:c>
      <x:c r="H6" s="12" t="str">
        <x:v>Month</x:v>
      </x:c>
      <x:c r="I6" s="12" t="str">
        <x:v>Date; Channel</x:v>
      </x:c>
      <x:c r="J6" s="12" t="str">
        <x:v>mart_channel_performance</x:v>
      </x:c>
      <x:c r="K6" s="12" t="str">
        <x:v>mart_channel_performance</x:v>
      </x:c>
      <x:c r="L6" s="12" t="str">
        <x:v>Total Impressions</x:v>
      </x:c>
      <x:c r="M6" s="12" t="str">
        <x:v>Channel Performance</x:v>
      </x:c>
      <x:c r="N6" s="12" t="str">
        <x:v>Marketing Analytics Manager</x:v>
      </x:c>
      <x:c r="O6" s="12" t="str">
        <x:v>dbt tests + reconciliation</x:v>
      </x:c>
      <x:c r="P6" s="12" t="str">
        <x:v>Ratios are zero-safe; simulations and diagnostics are non-causal</x:v>
      </x:c>
    </x:row>
    <x:row r="7" ht="38" customHeight="1">
      <x:c r="A7" s="12" t="str">
        <x:v>KPI-003</x:v>
      </x:c>
      <x:c r="B7" s="12" t="str">
        <x:v>Clicks</x:v>
      </x:c>
      <x:c r="C7" s="12" t="str">
        <x:v>Ad clicks</x:v>
      </x:c>
      <x:c r="D7" s="12" t="str">
        <x:v>SUM(clicks)</x:v>
      </x:c>
      <x:c r="E7" s="12" t="str">
        <x:v>clicks</x:v>
      </x:c>
      <x:c r="F7" s="12" t="str">
        <x:v>—</x:v>
      </x:c>
      <x:c r="G7" s="12" t="str">
        <x:v>Month/channel</x:v>
      </x:c>
      <x:c r="H7" s="12" t="str">
        <x:v>Month</x:v>
      </x:c>
      <x:c r="I7" s="12" t="str">
        <x:v>Date; Channel</x:v>
      </x:c>
      <x:c r="J7" s="12" t="str">
        <x:v>mart_channel_performance</x:v>
      </x:c>
      <x:c r="K7" s="12" t="str">
        <x:v>mart_channel_performance</x:v>
      </x:c>
      <x:c r="L7" s="12" t="str">
        <x:v>Total Clicks</x:v>
      </x:c>
      <x:c r="M7" s="12" t="str">
        <x:v>Channel Performance</x:v>
      </x:c>
      <x:c r="N7" s="12" t="str">
        <x:v>Marketing Analytics Manager</x:v>
      </x:c>
      <x:c r="O7" s="12" t="str">
        <x:v>dbt tests + reconciliation</x:v>
      </x:c>
      <x:c r="P7" s="12" t="str">
        <x:v>Ratios are zero-safe; simulations and diagnostics are non-causal</x:v>
      </x:c>
    </x:row>
    <x:row r="8" ht="38" customHeight="1">
      <x:c r="A8" s="12" t="str">
        <x:v>KPI-004</x:v>
      </x:c>
      <x:c r="B8" s="12" t="str">
        <x:v>CTR</x:v>
      </x:c>
      <x:c r="C8" s="12" t="str">
        <x:v>Clicks per impression</x:v>
      </x:c>
      <x:c r="D8" s="12" t="str">
        <x:v>Clicks / Impressions</x:v>
      </x:c>
      <x:c r="E8" s="12" t="str">
        <x:v>Clicks</x:v>
      </x:c>
      <x:c r="F8" s="12" t="str">
        <x:v>Impressions</x:v>
      </x:c>
      <x:c r="G8" s="12" t="str">
        <x:v>Month/channel</x:v>
      </x:c>
      <x:c r="H8" s="12" t="str">
        <x:v>Month</x:v>
      </x:c>
      <x:c r="I8" s="12" t="str">
        <x:v>Date; Channel</x:v>
      </x:c>
      <x:c r="J8" s="12" t="str">
        <x:v>mart_channel_performance</x:v>
      </x:c>
      <x:c r="K8" s="12" t="str">
        <x:v>mart_channel_performance</x:v>
      </x:c>
      <x:c r="L8" s="12" t="str">
        <x:v>Click Through Rate</x:v>
      </x:c>
      <x:c r="M8" s="12" t="str">
        <x:v>Channel Performance</x:v>
      </x:c>
      <x:c r="N8" s="12" t="str">
        <x:v>Marketing Analytics Manager</x:v>
      </x:c>
      <x:c r="O8" s="12" t="str">
        <x:v>dbt tests + reconciliation</x:v>
      </x:c>
      <x:c r="P8" s="12" t="str">
        <x:v>Ratios are zero-safe; simulations and diagnostics are non-causal</x:v>
      </x:c>
    </x:row>
    <x:row r="9" ht="38" customHeight="1">
      <x:c r="A9" s="12" t="str">
        <x:v>KPI-005</x:v>
      </x:c>
      <x:c r="B9" s="12" t="str">
        <x:v>CPC</x:v>
      </x:c>
      <x:c r="C9" s="12" t="str">
        <x:v>Spend per click</x:v>
      </x:c>
      <x:c r="D9" s="12" t="str">
        <x:v>Spend / Clicks</x:v>
      </x:c>
      <x:c r="E9" s="12" t="str">
        <x:v>Spend</x:v>
      </x:c>
      <x:c r="F9" s="12" t="str">
        <x:v>Clicks</x:v>
      </x:c>
      <x:c r="G9" s="12" t="str">
        <x:v>Month/channel</x:v>
      </x:c>
      <x:c r="H9" s="12" t="str">
        <x:v>Month</x:v>
      </x:c>
      <x:c r="I9" s="12" t="str">
        <x:v>Date; Channel</x:v>
      </x:c>
      <x:c r="J9" s="12" t="str">
        <x:v>mart_channel_performance</x:v>
      </x:c>
      <x:c r="K9" s="12" t="str">
        <x:v>mart_channel_performance</x:v>
      </x:c>
      <x:c r="L9" s="12" t="str">
        <x:v>supporting metric</x:v>
      </x:c>
      <x:c r="M9" s="12" t="str">
        <x:v>Channel Performance</x:v>
      </x:c>
      <x:c r="N9" s="12" t="str">
        <x:v>Marketing Analytics Manager</x:v>
      </x:c>
      <x:c r="O9" s="12" t="str">
        <x:v>dbt tests + reconciliation</x:v>
      </x:c>
      <x:c r="P9" s="12" t="str">
        <x:v>Ratios are zero-safe; simulations and diagnostics are non-causal</x:v>
      </x:c>
    </x:row>
    <x:row r="10" ht="38" customHeight="1">
      <x:c r="A10" s="12" t="str">
        <x:v>KPI-006</x:v>
      </x:c>
      <x:c r="B10" s="12" t="str">
        <x:v>Sessions</x:v>
      </x:c>
      <x:c r="C10" s="12" t="str">
        <x:v>Distinct modeled sessions</x:v>
      </x:c>
      <x:c r="D10" s="12" t="str">
        <x:v>COUNT(session_key)</x:v>
      </x:c>
      <x:c r="E10" s="12" t="str">
        <x:v>Sessions</x:v>
      </x:c>
      <x:c r="F10" s="12" t="str">
        <x:v>—</x:v>
      </x:c>
      <x:c r="G10" s="12" t="str">
        <x:v>Date/acquisition</x:v>
      </x:c>
      <x:c r="H10" s="12" t="str">
        <x:v>Day</x:v>
      </x:c>
      <x:c r="I10" s="12" t="str">
        <x:v>Date; Source; Campaign</x:v>
      </x:c>
      <x:c r="J10" s="12" t="str">
        <x:v>mart_ga4_live_funnel</x:v>
      </x:c>
      <x:c r="K10" s="12" t="str">
        <x:v>mart_ga4_live_funnel</x:v>
      </x:c>
      <x:c r="L10" s="12" t="str">
        <x:v>GA4 Sessions</x:v>
      </x:c>
      <x:c r="M10" s="12" t="str">
        <x:v>GA4 Funnel ready asset</x:v>
      </x:c>
      <x:c r="N10" s="12" t="str">
        <x:v>Marketing Analytics Manager</x:v>
      </x:c>
      <x:c r="O10" s="12" t="str">
        <x:v>dbt tests + reconciliation</x:v>
      </x:c>
      <x:c r="P10" s="12" t="str">
        <x:v>Ratios are zero-safe; simulations and diagnostics are non-causal</x:v>
      </x:c>
    </x:row>
    <x:row r="11" ht="38" customHeight="1">
      <x:c r="A11" s="12" t="str">
        <x:v>KPI-007</x:v>
      </x:c>
      <x:c r="B11" s="12" t="str">
        <x:v>Engaged Sessions</x:v>
      </x:c>
      <x:c r="C11" s="12" t="str">
        <x:v>Sessions with engagement signal</x:v>
      </x:c>
      <x:c r="D11" s="12" t="str">
        <x:v>SUM(engaged_sessions)</x:v>
      </x:c>
      <x:c r="E11" s="12" t="str">
        <x:v>Engaged sessions</x:v>
      </x:c>
      <x:c r="F11" s="12" t="str">
        <x:v>—</x:v>
      </x:c>
      <x:c r="G11" s="12" t="str">
        <x:v>Date/acquisition</x:v>
      </x:c>
      <x:c r="H11" s="12" t="str">
        <x:v>Day</x:v>
      </x:c>
      <x:c r="I11" s="12" t="str">
        <x:v>Date; Source</x:v>
      </x:c>
      <x:c r="J11" s="12" t="str">
        <x:v>mart_ga4_live_funnel</x:v>
      </x:c>
      <x:c r="K11" s="12" t="str">
        <x:v>mart_ga4_live_funnel</x:v>
      </x:c>
      <x:c r="L11" s="12" t="str">
        <x:v>supporting metric</x:v>
      </x:c>
      <x:c r="M11" s="12" t="str">
        <x:v>GA4 Funnel ready asset</x:v>
      </x:c>
      <x:c r="N11" s="12" t="str">
        <x:v>Marketing Analytics Manager</x:v>
      </x:c>
      <x:c r="O11" s="12" t="str">
        <x:v>dbt tests + reconciliation</x:v>
      </x:c>
      <x:c r="P11" s="12" t="str">
        <x:v>Ratios are zero-safe; simulations and diagnostics are non-causal</x:v>
      </x:c>
    </x:row>
    <x:row r="12" ht="38" customHeight="1">
      <x:c r="A12" s="12" t="str">
        <x:v>KPI-008</x:v>
      </x:c>
      <x:c r="B12" s="12" t="str">
        <x:v>Leads</x:v>
      </x:c>
      <x:c r="C12" s="12" t="str">
        <x:v>Generated CRM leads</x:v>
      </x:c>
      <x:c r="D12" s="12" t="str">
        <x:v>SUM(leads)</x:v>
      </x:c>
      <x:c r="E12" s="12" t="str">
        <x:v>Leads</x:v>
      </x:c>
      <x:c r="F12" s="12" t="str">
        <x:v>—</x:v>
      </x:c>
      <x:c r="G12" s="12" t="str">
        <x:v>Month/channel</x:v>
      </x:c>
      <x:c r="H12" s="12" t="str">
        <x:v>Month</x:v>
      </x:c>
      <x:c r="I12" s="12" t="str">
        <x:v>Date; Channel</x:v>
      </x:c>
      <x:c r="J12" s="12" t="str">
        <x:v>mart_channel_performance</x:v>
      </x:c>
      <x:c r="K12" s="12" t="str">
        <x:v>mart_channel_performance</x:v>
      </x:c>
      <x:c r="L12" s="12" t="str">
        <x:v>Total Leads</x:v>
      </x:c>
      <x:c r="M12" s="12" t="str">
        <x:v>Funnel Analysis</x:v>
      </x:c>
      <x:c r="N12" s="12" t="str">
        <x:v>Marketing Analytics Manager</x:v>
      </x:c>
      <x:c r="O12" s="12" t="str">
        <x:v>dbt tests + reconciliation</x:v>
      </x:c>
      <x:c r="P12" s="12" t="str">
        <x:v>Ratios are zero-safe; simulations and diagnostics are non-causal</x:v>
      </x:c>
    </x:row>
    <x:row r="13" ht="38" customHeight="1">
      <x:c r="A13" s="12" t="str">
        <x:v>KPI-009</x:v>
      </x:c>
      <x:c r="B13" s="12" t="str">
        <x:v>Customers</x:v>
      </x:c>
      <x:c r="C13" s="12" t="str">
        <x:v>Closed-won customers</x:v>
      </x:c>
      <x:c r="D13" s="12" t="str">
        <x:v>SUM(closed_won_conversions)</x:v>
      </x:c>
      <x:c r="E13" s="12" t="str">
        <x:v>Customers</x:v>
      </x:c>
      <x:c r="F13" s="12" t="str">
        <x:v>—</x:v>
      </x:c>
      <x:c r="G13" s="12" t="str">
        <x:v>Month/channel</x:v>
      </x:c>
      <x:c r="H13" s="12" t="str">
        <x:v>Month</x:v>
      </x:c>
      <x:c r="I13" s="12" t="str">
        <x:v>Date; Channel</x:v>
      </x:c>
      <x:c r="J13" s="12" t="str">
        <x:v>mart_channel_performance</x:v>
      </x:c>
      <x:c r="K13" s="12" t="str">
        <x:v>mart_channel_performance</x:v>
      </x:c>
      <x:c r="L13" s="12" t="str">
        <x:v>Closed Won Conversions</x:v>
      </x:c>
      <x:c r="M13" s="12" t="str">
        <x:v>Executive Overview</x:v>
      </x:c>
      <x:c r="N13" s="12" t="str">
        <x:v>Marketing Analytics Manager</x:v>
      </x:c>
      <x:c r="O13" s="12" t="str">
        <x:v>dbt tests + reconciliation</x:v>
      </x:c>
      <x:c r="P13" s="12" t="str">
        <x:v>Ratios are zero-safe; simulations and diagnostics are non-causal</x:v>
      </x:c>
    </x:row>
    <x:row r="14" ht="38" customHeight="1">
      <x:c r="A14" s="12" t="str">
        <x:v>KPI-010</x:v>
      </x:c>
      <x:c r="B14" s="12" t="str">
        <x:v>Conversion Rate</x:v>
      </x:c>
      <x:c r="C14" s="12" t="str">
        <x:v>Conversions per click/session as declared</x:v>
      </x:c>
      <x:c r="D14" s="12" t="str">
        <x:v>Conversions / eligible traffic</x:v>
      </x:c>
      <x:c r="E14" s="12" t="str">
        <x:v>Conversions</x:v>
      </x:c>
      <x:c r="F14" s="12" t="str">
        <x:v>Clicks or sessions</x:v>
      </x:c>
      <x:c r="G14" s="12" t="str">
        <x:v>Declared mart grain</x:v>
      </x:c>
      <x:c r="H14" s="12" t="str">
        <x:v>Month/Day</x:v>
      </x:c>
      <x:c r="I14" s="12" t="str">
        <x:v>Declared dimensions</x:v>
      </x:c>
      <x:c r="J14" s="12" t="str">
        <x:v>funnel/channel marts</x:v>
      </x:c>
      <x:c r="K14" s="12" t="str">
        <x:v>mart_funnel_performance</x:v>
      </x:c>
      <x:c r="L14" s="12" t="str">
        <x:v>SQL to Close Rate</x:v>
      </x:c>
      <x:c r="M14" s="12" t="str">
        <x:v>Funnel Analysis</x:v>
      </x:c>
      <x:c r="N14" s="12" t="str">
        <x:v>Marketing Analytics Manager</x:v>
      </x:c>
      <x:c r="O14" s="12" t="str">
        <x:v>dbt tests + reconciliation</x:v>
      </x:c>
      <x:c r="P14" s="12" t="str">
        <x:v>Ratios are zero-safe; simulations and diagnostics are non-causal</x:v>
      </x:c>
    </x:row>
    <x:row r="15" ht="38" customHeight="1">
      <x:c r="A15" s="12" t="str">
        <x:v>KPI-011</x:v>
      </x:c>
      <x:c r="B15" s="12" t="str">
        <x:v>Revenue</x:v>
      </x:c>
      <x:c r="C15" s="12" t="str">
        <x:v>Booked revenue</x:v>
      </x:c>
      <x:c r="D15" s="12" t="str">
        <x:v>SUM(booked_revenue)</x:v>
      </x:c>
      <x:c r="E15" s="12" t="str">
        <x:v>Revenue</x:v>
      </x:c>
      <x:c r="F15" s="12" t="str">
        <x:v>—</x:v>
      </x:c>
      <x:c r="G15" s="12" t="str">
        <x:v>Month/channel</x:v>
      </x:c>
      <x:c r="H15" s="12" t="str">
        <x:v>Month</x:v>
      </x:c>
      <x:c r="I15" s="12" t="str">
        <x:v>Date; Channel</x:v>
      </x:c>
      <x:c r="J15" s="12" t="str">
        <x:v>mart_channel_performance</x:v>
      </x:c>
      <x:c r="K15" s="12" t="str">
        <x:v>mart_channel_performance</x:v>
      </x:c>
      <x:c r="L15" s="12" t="str">
        <x:v>Booked Revenue</x:v>
      </x:c>
      <x:c r="M15" s="12" t="str">
        <x:v>Executive Overview</x:v>
      </x:c>
      <x:c r="N15" s="12" t="str">
        <x:v>Marketing Analytics Manager</x:v>
      </x:c>
      <x:c r="O15" s="12" t="str">
        <x:v>dbt tests + reconciliation</x:v>
      </x:c>
      <x:c r="P15" s="12" t="str">
        <x:v>Ratios are zero-safe; simulations and diagnostics are non-causal</x:v>
      </x:c>
    </x:row>
    <x:row r="16" ht="38" customHeight="1">
      <x:c r="A16" s="12" t="str">
        <x:v>KPI-012</x:v>
      </x:c>
      <x:c r="B16" s="12" t="str">
        <x:v>AOV</x:v>
      </x:c>
      <x:c r="C16" s="12" t="str">
        <x:v>Revenue per conversion</x:v>
      </x:c>
      <x:c r="D16" s="12" t="str">
        <x:v>Revenue / Conversions</x:v>
      </x:c>
      <x:c r="E16" s="12" t="str">
        <x:v>Revenue</x:v>
      </x:c>
      <x:c r="F16" s="12" t="str">
        <x:v>Conversions</x:v>
      </x:c>
      <x:c r="G16" s="12" t="str">
        <x:v>Month/channel</x:v>
      </x:c>
      <x:c r="H16" s="12" t="str">
        <x:v>Month</x:v>
      </x:c>
      <x:c r="I16" s="12" t="str">
        <x:v>Date; Channel</x:v>
      </x:c>
      <x:c r="J16" s="12" t="str">
        <x:v>mart_channel_performance</x:v>
      </x:c>
      <x:c r="K16" s="12" t="str">
        <x:v>mart_channel_performance</x:v>
      </x:c>
      <x:c r="L16" s="12" t="str">
        <x:v>supporting metric</x:v>
      </x:c>
      <x:c r="M16" s="12" t="str">
        <x:v>Diagnostics</x:v>
      </x:c>
      <x:c r="N16" s="12" t="str">
        <x:v>Marketing Analytics Manager</x:v>
      </x:c>
      <x:c r="O16" s="12" t="str">
        <x:v>dbt tests + reconciliation</x:v>
      </x:c>
      <x:c r="P16" s="12" t="str">
        <x:v>Ratios are zero-safe; simulations and diagnostics are non-causal</x:v>
      </x:c>
    </x:row>
    <x:row r="17" ht="38" customHeight="1">
      <x:c r="A17" s="12" t="str">
        <x:v>KPI-013</x:v>
      </x:c>
      <x:c r="B17" s="12" t="str">
        <x:v>CAC</x:v>
      </x:c>
      <x:c r="C17" s="12" t="str">
        <x:v>Spend per closed-won customer</x:v>
      </x:c>
      <x:c r="D17" s="12" t="str">
        <x:v>Spend / Customers</x:v>
      </x:c>
      <x:c r="E17" s="12" t="str">
        <x:v>Spend</x:v>
      </x:c>
      <x:c r="F17" s="12" t="str">
        <x:v>Customers</x:v>
      </x:c>
      <x:c r="G17" s="12" t="str">
        <x:v>Month/channel</x:v>
      </x:c>
      <x:c r="H17" s="12" t="str">
        <x:v>Month</x:v>
      </x:c>
      <x:c r="I17" s="12" t="str">
        <x:v>Date; Channel</x:v>
      </x:c>
      <x:c r="J17" s="12" t="str">
        <x:v>mart_channel_performance</x:v>
      </x:c>
      <x:c r="K17" s="12" t="str">
        <x:v>mart_channel_performance</x:v>
      </x:c>
      <x:c r="L17" s="12" t="str">
        <x:v>CAC</x:v>
      </x:c>
      <x:c r="M17" s="12" t="str">
        <x:v>Executive Overview</x:v>
      </x:c>
      <x:c r="N17" s="12" t="str">
        <x:v>Marketing Analytics Manager</x:v>
      </x:c>
      <x:c r="O17" s="12" t="str">
        <x:v>dbt tests + reconciliation</x:v>
      </x:c>
      <x:c r="P17" s="12" t="str">
        <x:v>Ratios are zero-safe; simulations and diagnostics are non-causal</x:v>
      </x:c>
    </x:row>
    <x:row r="18" ht="38" customHeight="1">
      <x:c r="A18" s="12" t="str">
        <x:v>KPI-014</x:v>
      </x:c>
      <x:c r="B18" s="12" t="str">
        <x:v>ROAS</x:v>
      </x:c>
      <x:c r="C18" s="12" t="str">
        <x:v>Revenue per spend</x:v>
      </x:c>
      <x:c r="D18" s="12" t="str">
        <x:v>Revenue / Spend</x:v>
      </x:c>
      <x:c r="E18" s="12" t="str">
        <x:v>Revenue</x:v>
      </x:c>
      <x:c r="F18" s="12" t="str">
        <x:v>Spend</x:v>
      </x:c>
      <x:c r="G18" s="12" t="str">
        <x:v>Month/channel</x:v>
      </x:c>
      <x:c r="H18" s="12" t="str">
        <x:v>Month</x:v>
      </x:c>
      <x:c r="I18" s="12" t="str">
        <x:v>Date; Channel</x:v>
      </x:c>
      <x:c r="J18" s="12" t="str">
        <x:v>mart_channel_performance</x:v>
      </x:c>
      <x:c r="K18" s="12" t="str">
        <x:v>mart_channel_performance</x:v>
      </x:c>
      <x:c r="L18" s="12" t="str">
        <x:v>ROAS</x:v>
      </x:c>
      <x:c r="M18" s="12" t="str">
        <x:v>Executive Overview</x:v>
      </x:c>
      <x:c r="N18" s="12" t="str">
        <x:v>Marketing Analytics Manager</x:v>
      </x:c>
      <x:c r="O18" s="12" t="str">
        <x:v>dbt tests + reconciliation</x:v>
      </x:c>
      <x:c r="P18" s="12" t="str">
        <x:v>Ratios are zero-safe; simulations and diagnostics are non-causal</x:v>
      </x:c>
    </x:row>
    <x:row r="19" ht="38" customHeight="1">
      <x:c r="A19" s="12" t="str">
        <x:v>KPI-015</x:v>
      </x:c>
      <x:c r="B19" s="12" t="str">
        <x:v>Target ROAS</x:v>
      </x:c>
      <x:c r="C19" s="12" t="str">
        <x:v>Governed planning target</x:v>
      </x:c>
      <x:c r="D19" s="12" t="str">
        <x:v>MAX(target_roas)</x:v>
      </x:c>
      <x:c r="E19" s="12" t="str">
        <x:v>Target ROAS</x:v>
      </x:c>
      <x:c r="F19" s="12" t="str">
        <x:v>—</x:v>
      </x:c>
      <x:c r="G19" s="12" t="str">
        <x:v>Scenario/channel</x:v>
      </x:c>
      <x:c r="H19" s="12" t="str">
        <x:v>Scenario</x:v>
      </x:c>
      <x:c r="I19" s="12" t="str">
        <x:v>Scenario; Channel</x:v>
      </x:c>
      <x:c r="J19" s="12" t="str">
        <x:v>mart_budget_scenarios</x:v>
      </x:c>
      <x:c r="K19" s="12" t="str">
        <x:v>mart_budget_scenarios</x:v>
      </x:c>
      <x:c r="L19" s="12" t="str">
        <x:v>supporting metric</x:v>
      </x:c>
      <x:c r="M19" s="12" t="str">
        <x:v>Scenario Planning</x:v>
      </x:c>
      <x:c r="N19" s="12" t="str">
        <x:v>Marketing Analytics Manager</x:v>
      </x:c>
      <x:c r="O19" s="12" t="str">
        <x:v>dbt tests + reconciliation</x:v>
      </x:c>
      <x:c r="P19" s="12" t="str">
        <x:v>Ratios are zero-safe; simulations and diagnostics are non-causal</x:v>
      </x:c>
    </x:row>
    <x:row r="20" ht="38" customHeight="1">
      <x:c r="A20" s="12" t="str">
        <x:v>KPI-016</x:v>
      </x:c>
      <x:c r="B20" s="12" t="str">
        <x:v>ROAS Variance</x:v>
      </x:c>
      <x:c r="C20" s="12" t="str">
        <x:v>ROAS minus target/prior ROAS</x:v>
      </x:c>
      <x:c r="D20" s="12" t="str">
        <x:v>Current ROAS - comparison ROAS</x:v>
      </x:c>
      <x:c r="E20" s="12" t="str">
        <x:v>ROAS</x:v>
      </x:c>
      <x:c r="F20" s="12" t="str">
        <x:v>Comparison ROAS</x:v>
      </x:c>
      <x:c r="G20" s="12" t="str">
        <x:v>Month/channel or scenario</x:v>
      </x:c>
      <x:c r="H20" s="12" t="str">
        <x:v>Month/Scenario</x:v>
      </x:c>
      <x:c r="I20" s="12" t="str">
        <x:v>Channel; Scenario</x:v>
      </x:c>
      <x:c r="J20" s="12" t="str">
        <x:v>variance/scenario marts</x:v>
      </x:c>
      <x:c r="K20" s="12" t="str">
        <x:v>mart_marketing_variance_drivers</x:v>
      </x:c>
      <x:c r="L20" s="12" t="str">
        <x:v>ROAS Absolute Variance</x:v>
      </x:c>
      <x:c r="M20" s="12" t="str">
        <x:v>Variance Drivers</x:v>
      </x:c>
      <x:c r="N20" s="12" t="str">
        <x:v>Marketing Analytics Manager</x:v>
      </x:c>
      <x:c r="O20" s="12" t="str">
        <x:v>dbt tests + reconciliation</x:v>
      </x:c>
      <x:c r="P20" s="12" t="str">
        <x:v>Ratios are zero-safe; simulations and diagnostics are non-causal</x:v>
      </x:c>
    </x:row>
    <x:row r="21" ht="38" customHeight="1">
      <x:c r="A21" s="12" t="str">
        <x:v>KPI-017</x:v>
      </x:c>
      <x:c r="B21" s="12" t="str">
        <x:v>Target CAC</x:v>
      </x:c>
      <x:c r="C21" s="12" t="str">
        <x:v>Governed planning target</x:v>
      </x:c>
      <x:c r="D21" s="12" t="str">
        <x:v>MAX(target_cac)</x:v>
      </x:c>
      <x:c r="E21" s="12" t="str">
        <x:v>Target CAC</x:v>
      </x:c>
      <x:c r="F21" s="12" t="str">
        <x:v>—</x:v>
      </x:c>
      <x:c r="G21" s="12" t="str">
        <x:v>Scenario/channel</x:v>
      </x:c>
      <x:c r="H21" s="12" t="str">
        <x:v>Scenario</x:v>
      </x:c>
      <x:c r="I21" s="12" t="str">
        <x:v>Scenario; Channel</x:v>
      </x:c>
      <x:c r="J21" s="12" t="str">
        <x:v>mart_budget_scenarios</x:v>
      </x:c>
      <x:c r="K21" s="12" t="str">
        <x:v>mart_budget_scenarios</x:v>
      </x:c>
      <x:c r="L21" s="12" t="str">
        <x:v>supporting metric</x:v>
      </x:c>
      <x:c r="M21" s="12" t="str">
        <x:v>Scenario Planning</x:v>
      </x:c>
      <x:c r="N21" s="12" t="str">
        <x:v>Marketing Analytics Manager</x:v>
      </x:c>
      <x:c r="O21" s="12" t="str">
        <x:v>dbt tests + reconciliation</x:v>
      </x:c>
      <x:c r="P21" s="12" t="str">
        <x:v>Ratios are zero-safe; simulations and diagnostics are non-causal</x:v>
      </x:c>
    </x:row>
    <x:row r="22" ht="38" customHeight="1">
      <x:c r="A22" s="12" t="str">
        <x:v>KPI-018</x:v>
      </x:c>
      <x:c r="B22" s="12" t="str">
        <x:v>Budget Utilization</x:v>
      </x:c>
      <x:c r="C22" s="12" t="str">
        <x:v>Actual spend per target spend</x:v>
      </x:c>
      <x:c r="D22" s="12" t="str">
        <x:v>Actual Spend / Target Spend</x:v>
      </x:c>
      <x:c r="E22" s="12" t="str">
        <x:v>Actual Spend</x:v>
      </x:c>
      <x:c r="F22" s="12" t="str">
        <x:v>Target Spend</x:v>
      </x:c>
      <x:c r="G22" s="12" t="str">
        <x:v>Month/region/channel</x:v>
      </x:c>
      <x:c r="H22" s="12" t="str">
        <x:v>Month</x:v>
      </x:c>
      <x:c r="I22" s="12" t="str">
        <x:v>Date; Region; Channel</x:v>
      </x:c>
      <x:c r="J22" s="12" t="str">
        <x:v>mart_target_vs_actual</x:v>
      </x:c>
      <x:c r="K22" s="12" t="str">
        <x:v>mart_target_vs_actual</x:v>
      </x:c>
      <x:c r="L22" s="12" t="str">
        <x:v>Spend Attainment</x:v>
      </x:c>
      <x:c r="M22" s="12" t="str">
        <x:v>Target vs Actual</x:v>
      </x:c>
      <x:c r="N22" s="12" t="str">
        <x:v>Marketing Analytics Manager</x:v>
      </x:c>
      <x:c r="O22" s="12" t="str">
        <x:v>dbt tests + reconciliation</x:v>
      </x:c>
      <x:c r="P22" s="12" t="str">
        <x:v>Ratios are zero-safe; simulations and diagnostics are non-causal</x:v>
      </x:c>
    </x:row>
    <x:row r="23" ht="38" customHeight="1">
      <x:c r="A23" s="12" t="str">
        <x:v>KPI-019</x:v>
      </x:c>
      <x:c r="B23" s="12" t="str">
        <x:v>Funnel Conversion</x:v>
      </x:c>
      <x:c r="C23" s="12" t="str">
        <x:v>Adjacent stage conversion</x:v>
      </x:c>
      <x:c r="D23" s="12" t="str">
        <x:v>Next stage / prior stage</x:v>
      </x:c>
      <x:c r="E23" s="12" t="str">
        <x:v>Next stage</x:v>
      </x:c>
      <x:c r="F23" s="12" t="str">
        <x:v>Prior stage</x:v>
      </x:c>
      <x:c r="G23" s="12" t="str">
        <x:v>Month/channel</x:v>
      </x:c>
      <x:c r="H23" s="12" t="str">
        <x:v>Month</x:v>
      </x:c>
      <x:c r="I23" s="12" t="str">
        <x:v>Date; Channel</x:v>
      </x:c>
      <x:c r="J23" s="12" t="str">
        <x:v>mart_funnel_performance</x:v>
      </x:c>
      <x:c r="K23" s="12" t="str">
        <x:v>mart_funnel_performance</x:v>
      </x:c>
      <x:c r="L23" s="12" t="str">
        <x:v>Lead to MQL Rate</x:v>
      </x:c>
      <x:c r="M23" s="12" t="str">
        <x:v>Funnel Analysis</x:v>
      </x:c>
      <x:c r="N23" s="12" t="str">
        <x:v>Marketing Analytics Manager</x:v>
      </x:c>
      <x:c r="O23" s="12" t="str">
        <x:v>dbt tests + reconciliation</x:v>
      </x:c>
      <x:c r="P23" s="12" t="str">
        <x:v>Ratios are zero-safe; simulations and diagnostics are non-causal</x:v>
      </x:c>
    </x:row>
    <x:row r="24" ht="38" customHeight="1">
      <x:c r="A24" s="12" t="str">
        <x:v>KPI-020</x:v>
      </x:c>
      <x:c r="B24" s="12" t="str">
        <x:v>Attribution Credit</x:v>
      </x:c>
      <x:c r="C24" s="12" t="str">
        <x:v>Revenue assigned by model</x:v>
      </x:c>
      <x:c r="D24" s="12" t="str">
        <x:v>SUM(attributed revenue)</x:v>
      </x:c>
      <x:c r="E24" s="12" t="str">
        <x:v>Attributed Revenue</x:v>
      </x:c>
      <x:c r="F24" s="12" t="str">
        <x:v>—</x:v>
      </x:c>
      <x:c r="G24" s="12" t="str">
        <x:v>Month/campaign/model</x:v>
      </x:c>
      <x:c r="H24" s="12" t="str">
        <x:v>Month</x:v>
      </x:c>
      <x:c r="I24" s="12" t="str">
        <x:v>Campaign; Channel; Model</x:v>
      </x:c>
      <x:c r="J24" s="12" t="str">
        <x:v>fact_attribution</x:v>
      </x:c>
      <x:c r="K24" s="12" t="str">
        <x:v>mart_attribution_model_comparison</x:v>
      </x:c>
      <x:c r="L24" s="12" t="str">
        <x:v>Attributed Revenue</x:v>
      </x:c>
      <x:c r="M24" s="12" t="str">
        <x:v>Attribution</x:v>
      </x:c>
      <x:c r="N24" s="12" t="str">
        <x:v>Marketing Analytics Manager</x:v>
      </x:c>
      <x:c r="O24" s="12" t="str">
        <x:v>dbt tests + reconciliation</x:v>
      </x:c>
      <x:c r="P24" s="12" t="str">
        <x:v>Ratios are zero-safe; simulations and diagnostics are non-causal</x:v>
      </x:c>
    </x:row>
    <x:row r="25" ht="38" customHeight="1">
      <x:c r="A25" s="12" t="str">
        <x:v>KPI-021</x:v>
      </x:c>
      <x:c r="B25" s="12" t="str">
        <x:v>Data Freshness</x:v>
      </x:c>
      <x:c r="C25" s="12" t="str">
        <x:v>Elapsed time since expected load</x:v>
      </x:c>
      <x:c r="D25" s="12" t="str">
        <x:v>Observed timestamp vs threshold</x:v>
      </x:c>
      <x:c r="E25" s="12" t="str">
        <x:v>Observed age</x:v>
      </x:c>
      <x:c r="F25" s="12" t="str">
        <x:v>Threshold</x:v>
      </x:c>
      <x:c r="G25" s="12" t="str">
        <x:v>Source</x:v>
      </x:c>
      <x:c r="H25" s="12" t="str">
        <x:v>Load</x:v>
      </x:c>
      <x:c r="I25" s="12" t="str">
        <x:v>Source</x:v>
      </x:c>
      <x:c r="J25" s="12" t="str">
        <x:v>reporting_reliability.json</x:v>
      </x:c>
      <x:c r="K25" s="12" t="str">
        <x:v>monitoring artifact</x:v>
      </x:c>
      <x:c r="L25" s="12" t="str">
        <x:v>supporting metric</x:v>
      </x:c>
      <x:c r="M25" s="12" t="str">
        <x:v>Data Quality</x:v>
      </x:c>
      <x:c r="N25" s="12" t="str">
        <x:v>Marketing Analytics Manager</x:v>
      </x:c>
      <x:c r="O25" s="12" t="str">
        <x:v>dbt tests + reconciliation</x:v>
      </x:c>
      <x:c r="P25" s="12" t="str">
        <x:v>Ratios are zero-safe; simulations and diagnostics are non-causal</x:v>
      </x:c>
    </x:row>
    <x:row r="26" ht="38" customHeight="1">
      <x:c r="A26" s="12" t="str">
        <x:v>KPI-022</x:v>
      </x:c>
      <x:c r="B26" s="12" t="str">
        <x:v>Quality Score</x:v>
      </x:c>
      <x:c r="C26" s="12" t="str">
        <x:v>Modeled data-product quality score</x:v>
      </x:c>
      <x:c r="D26" s="12" t="str">
        <x:v>AVERAGE(score)</x:v>
      </x:c>
      <x:c r="E26" s="12" t="str">
        <x:v>Score</x:v>
      </x:c>
      <x:c r="F26" s="12" t="str">
        <x:v>—</x:v>
      </x:c>
      <x:c r="G26" s="12" t="str">
        <x:v>Domain</x:v>
      </x:c>
      <x:c r="H26" s="12" t="str">
        <x:v>Run</x:v>
      </x:c>
      <x:c r="I26" s="12" t="str">
        <x:v>Domain; Owner</x:v>
      </x:c>
      <x:c r="J26" s="12" t="str">
        <x:v>mart_data_product_scorecard</x:v>
      </x:c>
      <x:c r="K26" s="12" t="str">
        <x:v>mart_data_product_scorecard</x:v>
      </x:c>
      <x:c r="L26" s="12" t="str">
        <x:v>Average Data Product Score</x:v>
      </x:c>
      <x:c r="M26" s="12" t="str">
        <x:v>Governance</x:v>
      </x:c>
      <x:c r="N26" s="12" t="str">
        <x:v>Marketing Analytics Manager</x:v>
      </x:c>
      <x:c r="O26" s="12" t="str">
        <x:v>dbt tests + reconciliation</x:v>
      </x:c>
      <x:c r="P26" s="12" t="str">
        <x:v>Ratios are zero-safe; simulations and diagnostics are non-causal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7398e169733c4fb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0" hidden="0" customWidth="1"/>
    <x:col min="9" max="9" width="18" hidden="0" customWidth="1"/>
  </x:cols>
  <x:sheetData>
    <x:row r="1" ht="30" customHeight="1">
      <x:c r="A1" s="2" t="str">
        <x:v>Enterprise Data Dictionary — Dimensions</x:v>
      </x:c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5" t="str">
        <x:v>Conformed analytical dimensions and their documented behavior.</x:v>
      </x:c>
      <x:c r="B2" s="5"/>
      <x:c r="C2" s="5"/>
      <x:c r="D2" s="5"/>
      <x:c r="E2" s="5"/>
      <x:c r="F2" s="5"/>
      <x:c r="G2" s="5"/>
      <x:c r="H2" s="5"/>
      <x:c r="I2" s="5"/>
    </x:row>
    <x:row r="4" ht="32" customHeight="1">
      <x:c r="A4" s="9" t="str">
        <x:v>Dimension</x:v>
      </x:c>
      <x:c r="B4" s="9" t="str">
        <x:v>Attribute</x:v>
      </x:c>
      <x:c r="C4" s="9" t="str">
        <x:v>Definition</x:v>
      </x:c>
      <x:c r="D4" s="9" t="str">
        <x:v>Hierarchy</x:v>
      </x:c>
      <x:c r="E4" s="9" t="str">
        <x:v>Key</x:v>
      </x:c>
      <x:c r="F4" s="9" t="str">
        <x:v>SCD Behavior</x:v>
      </x:c>
      <x:c r="G4" s="9" t="str">
        <x:v>Source</x:v>
      </x:c>
      <x:c r="H4" s="9" t="str">
        <x:v>Used By</x:v>
      </x:c>
      <x:c r="I4" s="9" t="str">
        <x:v>Notes</x:v>
      </x:c>
    </x:row>
    <x:row r="5" ht="38" customHeight="1">
      <x:c r="A5" s="12" t="str">
        <x:v>Date</x:v>
      </x:c>
      <x:c r="B5" s="12" t="str">
        <x:v>Date/Month/Quarter</x:v>
      </x:c>
      <x:c r="C5" s="12" t="str">
        <x:v>Calendar reporting attribute</x:v>
      </x:c>
      <x:c r="D5" s="12" t="str">
        <x:v>Year &gt; Quarter &gt; Month</x:v>
      </x:c>
      <x:c r="E5" s="12" t="str">
        <x:v>date_day</x:v>
      </x:c>
      <x:c r="F5" s="12" t="str">
        <x:v>Type 0</x:v>
      </x:c>
      <x:c r="G5" s="12" t="str">
        <x:v>dim_date</x:v>
      </x:c>
      <x:c r="H5" s="12" t="str">
        <x:v>All period reporting</x:v>
      </x:c>
      <x:c r="I5" s="12" t="str">
        <x:v>Monthly facts use first day</x:v>
      </x:c>
    </x:row>
    <x:row r="6" ht="38" customHeight="1">
      <x:c r="A6" s="12" t="str">
        <x:v>Channel</x:v>
      </x:c>
      <x:c r="B6" s="12" t="str">
        <x:v>Channel Name/Group</x:v>
      </x:c>
      <x:c r="C6" s="12" t="str">
        <x:v>Conformed marketing channel</x:v>
      </x:c>
      <x:c r="D6" s="12" t="str">
        <x:v>Group &gt; Channel</x:v>
      </x:c>
      <x:c r="E6" s="12" t="str">
        <x:v>channel_key</x:v>
      </x:c>
      <x:c r="F6" s="12" t="str">
        <x:v>Type 0</x:v>
      </x:c>
      <x:c r="G6" s="12" t="str">
        <x:v>campaign mapping</x:v>
      </x:c>
      <x:c r="H6" s="12" t="str">
        <x:v>Channel/funnel/variance</x:v>
      </x:c>
      <x:c r="I6" s="12" t="str">
        <x:v>Paid vs Owned/Other</x:v>
      </x:c>
    </x:row>
    <x:row r="7" ht="38" customHeight="1">
      <x:c r="A7" s="12" t="str">
        <x:v>Campaign</x:v>
      </x:c>
      <x:c r="B7" s="12" t="str">
        <x:v>Canonical Name/Owner</x:v>
      </x:c>
      <x:c r="C7" s="12" t="str">
        <x:v>Conformed campaign identity</x:v>
      </x:c>
      <x:c r="D7" s="12" t="str">
        <x:v>Channel &gt; Campaign</x:v>
      </x:c>
      <x:c r="E7" s="12" t="str">
        <x:v>campaign_key</x:v>
      </x:c>
      <x:c r="F7" s="12" t="str">
        <x:v>Type 2</x:v>
      </x:c>
      <x:c r="G7" s="12" t="str">
        <x:v>campaign mapping</x:v>
      </x:c>
      <x:c r="H7" s="12" t="str">
        <x:v>Campaign/attribution/actions</x:v>
      </x:c>
      <x:c r="I7" s="12" t="str">
        <x:v>Validity windows tested</x:v>
      </x:c>
    </x:row>
    <x:row r="8" ht="38" customHeight="1">
      <x:c r="A8" s="12" t="str">
        <x:v>Region</x:v>
      </x:c>
      <x:c r="B8" s="12" t="str">
        <x:v>Country/Region/Territory</x:v>
      </x:c>
      <x:c r="C8" s="12" t="str">
        <x:v>Conformed geography</x:v>
      </x:c>
      <x:c r="D8" s="12" t="str">
        <x:v>Country &gt; Region &gt; Territory</x:v>
      </x:c>
      <x:c r="E8" s="12" t="str">
        <x:v>region_key</x:v>
      </x:c>
      <x:c r="F8" s="12" t="str">
        <x:v>Type 0</x:v>
      </x:c>
      <x:c r="G8" s="12" t="str">
        <x:v>region mapping</x:v>
      </x:c>
      <x:c r="H8" s="12" t="str">
        <x:v>Targets/regional reporting</x:v>
      </x:c>
      <x:c r="I8" s="12" t="str">
        <x:v>Generated mapping</x:v>
      </x:c>
    </x:row>
    <x:row r="9" ht="38" customHeight="1">
      <x:c r="A9" s="12" t="str">
        <x:v>Device</x:v>
      </x:c>
      <x:c r="B9" s="12" t="str">
        <x:v>Device Category</x:v>
      </x:c>
      <x:c r="C9" s="12" t="str">
        <x:v>Web/device grouping</x:v>
      </x:c>
      <x:c r="D9" s="12" t="str">
        <x:v>Category</x:v>
      </x:c>
      <x:c r="E9" s="12" t="str">
        <x:v>device_key</x:v>
      </x:c>
      <x:c r="F9" s="12" t="str">
        <x:v>Type 0</x:v>
      </x:c>
      <x:c r="G9" s="12" t="str">
        <x:v>GA4</x:v>
      </x:c>
      <x:c r="H9" s="12" t="str">
        <x:v>GA4 funnel</x:v>
      </x:c>
      <x:c r="I9" s="12" t="str">
        <x:v>Live and generated paths</x:v>
      </x:c>
    </x:row>
    <x:row r="10" ht="38" customHeight="1">
      <x:c r="A10" s="12" t="str">
        <x:v>Customer</x:v>
      </x:c>
      <x:c r="B10" s="12" t="str">
        <x:v>Customer Segment</x:v>
      </x:c>
      <x:c r="C10" s="12" t="str">
        <x:v>Synthetic customer identity</x:v>
      </x:c>
      <x:c r="D10" s="12" t="str">
        <x:v>Segment &gt; Customer</x:v>
      </x:c>
      <x:c r="E10" s="12" t="str">
        <x:v>customer_key</x:v>
      </x:c>
      <x:c r="F10" s="12" t="str">
        <x:v>Type 2-style</x:v>
      </x:c>
      <x:c r="G10" s="12" t="str">
        <x:v>CRM/Sales</x:v>
      </x:c>
      <x:c r="H10" s="12" t="str">
        <x:v>Customer value</x:v>
      </x:c>
      <x:c r="I10" s="12" t="str">
        <x:v>No real person data</x:v>
      </x:c>
    </x:row>
    <x:row r="11" ht="38" customHeight="1">
      <x:c r="A11" s="12" t="str">
        <x:v>Source System</x:v>
      </x:c>
      <x:c r="B11" s="12" t="str">
        <x:v>Source Name</x:v>
      </x:c>
      <x:c r="C11" s="12" t="str">
        <x:v>Originating platform/system</x:v>
      </x:c>
      <x:c r="D11" s="12" t="str">
        <x:v>System</x:v>
      </x:c>
      <x:c r="E11" s="12" t="str">
        <x:v>source_system_key</x:v>
      </x:c>
      <x:c r="F11" s="12" t="str">
        <x:v>Type 0</x:v>
      </x:c>
      <x:c r="G11" s="12" t="str">
        <x:v>ingestion metadata</x:v>
      </x:c>
      <x:c r="H11" s="12" t="str">
        <x:v>Quality/governance</x:v>
      </x:c>
      <x:c r="I11" s="12" t="str">
        <x:v>Execution status explicit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112b62e5df45403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0" hidden="0" customWidth="1"/>
  </x:cols>
  <x:sheetData>
    <x:row r="1" ht="30" customHeight="1">
      <x:c r="A1" s="2" t="str">
        <x:v>Enterprise Data Dictionary — Governance and Ownership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32" customHeight="1">
      <x:c r="A2" s="5" t="str">
        <x:v>Portfolio governance metadata; certification labels are internal and do not imply Power BI Service certification.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 ht="32" customHeight="1">
      <x:c r="A4" s="9" t="str">
        <x:v>Data Asset</x:v>
      </x:c>
      <x:c r="B4" s="9" t="str">
        <x:v>Business Owner Persona</x:v>
      </x:c>
      <x:c r="C4" s="9" t="str">
        <x:v>Technical Owner Persona</x:v>
      </x:c>
      <x:c r="D4" s="9" t="str">
        <x:v>Sensitivity</x:v>
      </x:c>
      <x:c r="E4" s="9" t="str">
        <x:v>Classification</x:v>
      </x:c>
      <x:c r="F4" s="9" t="str">
        <x:v>Retention</x:v>
      </x:c>
      <x:c r="G4" s="9" t="str">
        <x:v>Refresh Expectation</x:v>
      </x:c>
      <x:c r="H4" s="9" t="str">
        <x:v>Quality Threshold</x:v>
      </x:c>
      <x:c r="I4" s="9" t="str">
        <x:v>Certification Status</x:v>
      </x:c>
      <x:c r="J4" s="9" t="str">
        <x:v>Source of Truth</x:v>
      </x:c>
    </x:row>
    <x:row r="5" ht="38" customHeight="1">
      <x:c r="A5" s="12" t="str">
        <x:v>Google Ads</x:v>
      </x:c>
      <x:c r="B5" s="12" t="str">
        <x:v>Performance Marketing Manager</x:v>
      </x:c>
      <x:c r="C5" s="12" t="str">
        <x:v>Data Engineering</x:v>
      </x:c>
      <x:c r="D5" s="12" t="str">
        <x:v>Synthetic commercial</x:v>
      </x:c>
      <x:c r="E5" s="12" t="str">
        <x:v>Internal portfolio</x:v>
      </x:c>
      <x:c r="F5" s="12" t="str">
        <x:v>24 months modeled</x:v>
      </x:c>
      <x:c r="G5" s="12" t="str">
        <x:v>Daily</x:v>
      </x:c>
      <x:c r="H5" s="12" t="str">
        <x:v>&gt;0 rows; no failed files</x:v>
      </x:c>
      <x:c r="I5" s="12" t="str">
        <x:v>VALIDATED</x:v>
      </x:c>
      <x:c r="J5" s="12" t="str">
        <x:v>raw.google_ads</x:v>
      </x:c>
    </x:row>
    <x:row r="6" ht="38" customHeight="1">
      <x:c r="A6" s="12" t="str">
        <x:v>Meta/Facebook Ads</x:v>
      </x:c>
      <x:c r="B6" s="12" t="str">
        <x:v>Performance Marketing Manager</x:v>
      </x:c>
      <x:c r="C6" s="12" t="str">
        <x:v>Data Engineering</x:v>
      </x:c>
      <x:c r="D6" s="12" t="str">
        <x:v>Synthetic commercial</x:v>
      </x:c>
      <x:c r="E6" s="12" t="str">
        <x:v>Internal portfolio</x:v>
      </x:c>
      <x:c r="F6" s="12" t="str">
        <x:v>24 months modeled</x:v>
      </x:c>
      <x:c r="G6" s="12" t="str">
        <x:v>Daily</x:v>
      </x:c>
      <x:c r="H6" s="12" t="str">
        <x:v>&gt;0 rows; no failed files</x:v>
      </x:c>
      <x:c r="I6" s="12" t="str">
        <x:v>VALIDATED</x:v>
      </x:c>
      <x:c r="J6" s="12" t="str">
        <x:v>raw.facebook_ads</x:v>
      </x:c>
    </x:row>
    <x:row r="7" ht="38" customHeight="1">
      <x:c r="A7" s="12" t="str">
        <x:v>TikTok Ads</x:v>
      </x:c>
      <x:c r="B7" s="12" t="str">
        <x:v>Performance Marketing Manager</x:v>
      </x:c>
      <x:c r="C7" s="12" t="str">
        <x:v>Data Engineering</x:v>
      </x:c>
      <x:c r="D7" s="12" t="str">
        <x:v>Synthetic commercial</x:v>
      </x:c>
      <x:c r="E7" s="12" t="str">
        <x:v>Internal portfolio</x:v>
      </x:c>
      <x:c r="F7" s="12" t="str">
        <x:v>24 months modeled</x:v>
      </x:c>
      <x:c r="G7" s="12" t="str">
        <x:v>Daily</x:v>
      </x:c>
      <x:c r="H7" s="12" t="str">
        <x:v>&gt;0 rows; no failed files</x:v>
      </x:c>
      <x:c r="I7" s="12" t="str">
        <x:v>VALIDATED</x:v>
      </x:c>
      <x:c r="J7" s="12" t="str">
        <x:v>raw.tiktok_ads</x:v>
      </x:c>
    </x:row>
    <x:row r="8" ht="38" customHeight="1">
      <x:c r="A8" s="12" t="str">
        <x:v>GA4</x:v>
      </x:c>
      <x:c r="B8" s="12" t="str">
        <x:v>Marketing Analytics Manager</x:v>
      </x:c>
      <x:c r="C8" s="12" t="str">
        <x:v>Data Engineering</x:v>
      </x:c>
      <x:c r="D8" s="12" t="str">
        <x:v>Pseudonymous analytics</x:v>
      </x:c>
      <x:c r="E8" s="12" t="str">
        <x:v>Restricted analytics</x:v>
      </x:c>
      <x:c r="F8" s="12" t="str">
        <x:v>14 months modeled</x:v>
      </x:c>
      <x:c r="G8" s="12" t="str">
        <x:v>Daily</x:v>
      </x:c>
      <x:c r="H8" s="12" t="str">
        <x:v>&gt;0 rows; no failed files</x:v>
      </x:c>
      <x:c r="I8" s="12" t="str">
        <x:v>VALIDATED</x:v>
      </x:c>
      <x:c r="J8" s="12" t="str">
        <x:v>analytics_550433518.events_*</x:v>
      </x:c>
    </x:row>
    <x:row r="9" ht="38" customHeight="1">
      <x:c r="A9" s="12" t="str">
        <x:v>CRM</x:v>
      </x:c>
      <x:c r="B9" s="12" t="str">
        <x:v>Sales Operations Manager</x:v>
      </x:c>
      <x:c r="C9" s="12" t="str">
        <x:v>Data Engineering</x:v>
      </x:c>
      <x:c r="D9" s="12" t="str">
        <x:v>Synthetic commercial</x:v>
      </x:c>
      <x:c r="E9" s="12" t="str">
        <x:v>Internal portfolio</x:v>
      </x:c>
      <x:c r="F9" s="12" t="str">
        <x:v>24 months modeled</x:v>
      </x:c>
      <x:c r="G9" s="12" t="str">
        <x:v>Daily</x:v>
      </x:c>
      <x:c r="H9" s="12" t="str">
        <x:v>&gt;0 rows; no failed files</x:v>
      </x:c>
      <x:c r="I9" s="12" t="str">
        <x:v>VALIDATED</x:v>
      </x:c>
      <x:c r="J9" s="12" t="str">
        <x:v>raw.crm_leads</x:v>
      </x:c>
    </x:row>
    <x:row r="10" ht="38" customHeight="1">
      <x:c r="A10" s="12" t="str">
        <x:v>Sales</x:v>
      </x:c>
      <x:c r="B10" s="12" t="str">
        <x:v>Finance Business Partner</x:v>
      </x:c>
      <x:c r="C10" s="12" t="str">
        <x:v>Data Engineering</x:v>
      </x:c>
      <x:c r="D10" s="12" t="str">
        <x:v>Synthetic commercial</x:v>
      </x:c>
      <x:c r="E10" s="12" t="str">
        <x:v>Internal portfolio</x:v>
      </x:c>
      <x:c r="F10" s="12" t="str">
        <x:v>24 months modeled</x:v>
      </x:c>
      <x:c r="G10" s="12" t="str">
        <x:v>Daily</x:v>
      </x:c>
      <x:c r="H10" s="12" t="str">
        <x:v>&gt;0 rows; no failed files</x:v>
      </x:c>
      <x:c r="I10" s="12" t="str">
        <x:v>VALIDATED</x:v>
      </x:c>
      <x:c r="J10" s="12" t="str">
        <x:v>raw.sales_conversions</x:v>
      </x:c>
    </x:row>
    <x:row r="11" ht="38" customHeight="1">
      <x:c r="A11" s="12" t="str">
        <x:v>Marketing Targets</x:v>
      </x:c>
      <x:c r="B11" s="12" t="str">
        <x:v>Finance Business Partner</x:v>
      </x:c>
      <x:c r="C11" s="12" t="str">
        <x:v>Data Engineering</x:v>
      </x:c>
      <x:c r="D11" s="12" t="str">
        <x:v>Synthetic commercial</x:v>
      </x:c>
      <x:c r="E11" s="12" t="str">
        <x:v>Internal portfolio</x:v>
      </x:c>
      <x:c r="F11" s="12" t="str">
        <x:v>24 months modeled</x:v>
      </x:c>
      <x:c r="G11" s="12" t="str">
        <x:v>Monthly</x:v>
      </x:c>
      <x:c r="H11" s="12" t="str">
        <x:v>&gt;0 rows; no failed files</x:v>
      </x:c>
      <x:c r="I11" s="12" t="str">
        <x:v>VALIDATED</x:v>
      </x:c>
      <x:c r="J11" s="12" t="str">
        <x:v>raw.marketing_targets</x:v>
      </x:c>
    </x:row>
    <x:row r="12" ht="38" customHeight="1">
      <x:c r="A12" s="12" t="str">
        <x:v>Campaign Mapping</x:v>
      </x:c>
      <x:c r="B12" s="12" t="str">
        <x:v>Marketing Analytics Manager</x:v>
      </x:c>
      <x:c r="C12" s="12" t="str">
        <x:v>Data Engineering</x:v>
      </x:c>
      <x:c r="D12" s="12" t="str">
        <x:v>Synthetic commercial</x:v>
      </x:c>
      <x:c r="E12" s="12" t="str">
        <x:v>Internal portfolio</x:v>
      </x:c>
      <x:c r="F12" s="12" t="str">
        <x:v>24 months modeled</x:v>
      </x:c>
      <x:c r="G12" s="12" t="str">
        <x:v>Daily</x:v>
      </x:c>
      <x:c r="H12" s="12" t="str">
        <x:v>&gt;0 rows; no failed files</x:v>
      </x:c>
      <x:c r="I12" s="12" t="str">
        <x:v>VALIDATED</x:v>
      </x:c>
      <x:c r="J12" s="12" t="str">
        <x:v>raw.campaign_mapping</x:v>
      </x:c>
    </x:row>
    <x:row r="13" ht="38" customHeight="1">
      <x:c r="A13" s="12" t="str">
        <x:v>Region Mapping</x:v>
      </x:c>
      <x:c r="B13" s="12" t="str">
        <x:v>Sales Operations Manager</x:v>
      </x:c>
      <x:c r="C13" s="12" t="str">
        <x:v>Data Engineering</x:v>
      </x:c>
      <x:c r="D13" s="12" t="str">
        <x:v>Synthetic commercial</x:v>
      </x:c>
      <x:c r="E13" s="12" t="str">
        <x:v>Internal portfolio</x:v>
      </x:c>
      <x:c r="F13" s="12" t="str">
        <x:v>24 months modeled</x:v>
      </x:c>
      <x:c r="G13" s="12" t="str">
        <x:v>Daily</x:v>
      </x:c>
      <x:c r="H13" s="12" t="str">
        <x:v>&gt;0 rows; no failed files</x:v>
      </x:c>
      <x:c r="I13" s="12" t="str">
        <x:v>VALIDATED</x:v>
      </x:c>
      <x:c r="J13" s="12" t="str">
        <x:v>raw.region_mapping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453f151aa0d74b0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30" customHeight="1">
      <x:c r="A1" s="2" t="str">
        <x:v>Enterprise Data Dictionary — Coverage Summary</x:v>
      </x:c>
      <x:c r="B1" s="2"/>
      <x:c r="C1" s="2"/>
    </x:row>
    <x:row r="2" ht="32" customHeight="1">
      <x:c r="A2" s="5" t="str">
        <x:v>Formula-driven coverage and completeness checks.</x:v>
      </x:c>
      <x:c r="B2" s="5"/>
      <x:c r="C2" s="5"/>
    </x:row>
    <x:row r="4" ht="32" customHeight="1">
      <x:c r="A4" s="9" t="str">
        <x:v>Metric</x:v>
      </x:c>
      <x:c r="B4" s="9" t="str">
        <x:v>Value</x:v>
      </x:c>
      <x:c r="C4" s="9" t="str">
        <x:v>Expected / Interpretation</x:v>
      </x:c>
    </x:row>
    <x:row r="5" ht="38" customHeight="1">
      <x:c r="A5" s="12" t="str">
        <x:v>Source fields</x:v>
      </x:c>
      <x:c r="B5" s="15" t="n">
        <x:f>COUNTA('Source Fields'!A5:A46)</x:f>
        <x:v>42</x:v>
      </x:c>
      <x:c r="C5" s="12" t="str">
        <x:v>Representative fields from 9 source systems</x:v>
      </x:c>
    </x:row>
    <x:row r="6" ht="38" customHeight="1">
      <x:c r="A6" s="12" t="str">
        <x:v>Warehouse fields</x:v>
      </x:c>
      <x:c r="B6" s="15" t="n">
        <x:f>COUNTA('Warehouse Fields'!A5:A76)</x:f>
        <x:v>72</x:v>
      </x:c>
      <x:c r="C6" s="12" t="str">
        <x:v>Traceable staging-to-semantic fields</x:v>
      </x:c>
    </x:row>
    <x:row r="7" ht="38" customHeight="1">
      <x:c r="A7" s="12" t="str">
        <x:v>KPIs</x:v>
      </x:c>
      <x:c r="B7" s="15" t="n">
        <x:f>COUNTA('KPIs'!A5:A26)</x:f>
        <x:v>22</x:v>
      </x:c>
      <x:c r="C7" s="12" t="str">
        <x:v>Major marketing, funnel, target and quality KPIs</x:v>
      </x:c>
    </x:row>
    <x:row r="8" ht="38" customHeight="1">
      <x:c r="A8" s="12" t="str">
        <x:v>Dimensions</x:v>
      </x:c>
      <x:c r="B8" s="15" t="n">
        <x:f>COUNTA('Dimensions'!A5:A11)</x:f>
        <x:v>7</x:v>
      </x:c>
      <x:c r="C8" s="12" t="str">
        <x:v>Conformed dimensions</x:v>
      </x:c>
    </x:row>
    <x:row r="9" ht="38" customHeight="1">
      <x:c r="A9" s="12" t="str">
        <x:v>Governed assets</x:v>
      </x:c>
      <x:c r="B9" s="15" t="n">
        <x:f>COUNTA('Governance - Ownership'!A5:A13)</x:f>
        <x:v>9</x:v>
      </x:c>
      <x:c r="C9" s="12" t="str">
        <x:v>Ownership entries</x:v>
      </x:c>
    </x:row>
    <x:row r="10" ht="38" customHeight="1">
      <x:c r="A10" s="12" t="str">
        <x:v>Missing source definitions</x:v>
      </x:c>
      <x:c r="B10" s="15" t="n">
        <x:f>COUNTBLANK('Source Fields'!E5:E46)</x:f>
        <x:v>0</x:v>
      </x:c>
      <x:c r="C10" s="12" t="str">
        <x:v>Expected 0</x:v>
      </x:c>
    </x:row>
    <x:row r="11" ht="38" customHeight="1">
      <x:c r="A11" s="12" t="str">
        <x:v>Missing KPI definitions</x:v>
      </x:c>
      <x:c r="B11" s="15" t="n">
        <x:f>COUNTBLANK('KPIs'!C5:C26)</x:f>
        <x:v>0</x:v>
      </x:c>
      <x:c r="C11" s="12" t="str">
        <x:v>Expected 0</x:v>
      </x:c>
    </x:row>
    <x:row r="12" ht="38" customHeight="1">
      <x:c r="A12" s="12" t="str">
        <x:v>Mapped KPI entries</x:v>
      </x:c>
      <x:c r="B12" s="15" t="n">
        <x:f>COUNTIF('KPIs'!L5:L26,"&lt;&gt;")</x:f>
        <x:v>22</x:v>
      </x:c>
      <x:c r="C12" s="12" t="str">
        <x:v>KPIs mapped to a DAX measure or supporting metric</x:v>
      </x:c>
    </x:row>
    <x:row r="13" ht="38" customHeight="1">
      <x:c r="A13" s="12" t="str">
        <x:v>Mapped source systems</x:v>
      </x:c>
      <x:c r="B13" s="15" t="n">
        <x:f>COUNTA('Governance - Ownership'!A5:A13)</x:f>
        <x:v>9</x:v>
      </x:c>
      <x:c r="C13" s="12" t="str">
        <x:v>Source systems with governance ownership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c054e266a19d432f"/>
  </x:tableParts>
</x:worksheet>
</file>