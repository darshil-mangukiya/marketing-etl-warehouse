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2ecae33db44f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45112a9553fa44eb"/>
    <x:sheet xmlns:r="http://schemas.openxmlformats.org/officeDocument/2006/relationships" name="Test Plan" sheetId="2" r:id="R87f967cfa1aa445d"/>
    <x:sheet xmlns:r="http://schemas.openxmlformats.org/officeDocument/2006/relationships" name="Coverage Summary" sheetId="3" r:id="R9e80cbaaa37544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0"/>
      <x:color rgb="FF17324D"/>
      <x:name val="Carlito"/>
    </x:font>
    <x:font>
      <x:b/>
      <x:sz val="11"/>
      <x:color rgb="FF17324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46B9A"/>
      </x:patternFill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</x:fills>
  <x:borders count="4">
    <x:border/>
    <x:border/>
    <x:border>
      <x:left style="thin">
        <x:color rgb="FFD7E0E8"/>
      </x:left>
      <x:right style="thin">
        <x:color rgb="FFD7E0E8"/>
      </x:right>
      <x:top style="thin">
        <x:color rgb="FFD7E0E8"/>
      </x:top>
      <x:bottom style="thin">
        <x:color rgb="FFD7E0E8"/>
      </x:bottom>
    </x:border>
    <x:border>
      <x:left style="thin">
        <x:color rgb="FFD7E0E8"/>
      </x:left>
      <x:right style="thin">
        <x:color rgb="FFD7E0E8"/>
      </x:right>
      <x:top style="thin">
        <x:color rgb="FFD7E0E8"/>
      </x:top>
      <x:bottom style="thin">
        <x:color rgb="FFD7E0E8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2" borderId="2" xfId="0" applyNumberFormat="1" applyFont="1" applyFill="1" applyBorder="1" applyAlignment="1">
      <x:alignment vertical="top" wrapText="1"/>
    </x:xf>
    <x:xf numFmtId="0" fontId="0" fillId="2" borderId="3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200" fontId="4" fillId="5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80b82ee22146dd" /><Relationship Type="http://schemas.openxmlformats.org/officeDocument/2006/relationships/theme" Target="/xl/theme/theme1.xml" Id="R4248fe008bf64c2e" /><Relationship Type="http://schemas.openxmlformats.org/officeDocument/2006/relationships/sharedStrings" Target="/xl/sharedStrings.xml" Id="Raae54998400f419f" /><Relationship Type="http://schemas.openxmlformats.org/officeDocument/2006/relationships/worksheet" Target="/xl/worksheets/sheet1.xml" Id="R45112a9553fa44eb" /><Relationship Type="http://schemas.openxmlformats.org/officeDocument/2006/relationships/worksheet" Target="/xl/worksheets/sheet2.xml" Id="R87f967cfa1aa445d" /><Relationship Type="http://schemas.openxmlformats.org/officeDocument/2006/relationships/worksheet" Target="/xl/worksheets/sheet3.xml" Id="R9e80cbaaa375441c" /></Relationships>
</file>

<file path=xl/tables/table1.xml><?xml version="1.0" encoding="utf-8"?>
<x:table xmlns:x="http://schemas.openxmlformats.org/spreadsheetml/2006/main" id="1" name="ModeledUATCases" displayName="ModeledUATCases" ref="A1:J41" headerRowCount="1" totalsRowCount="0" totalsRowShown="0">
  <x:tableColumns count="10">
    <x:tableColumn id="1" name="test_id"/>
    <x:tableColumn id="2" name="business_requirement"/>
    <x:tableColumn id="3" name="scenario"/>
    <x:tableColumn id="4" name="precondition"/>
    <x:tableColumn id="5" name="steps"/>
    <x:tableColumn id="6" name="expected_result"/>
    <x:tableColumn id="7" name="actual_result"/>
    <x:tableColumn id="8" name="status"/>
    <x:tableColumn id="9" name="evidence"/>
    <x:tableColumn id="10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ATPlan" displayName="UATPlan" ref="A4:F10" headerRowCount="1" totalsRowCount="0" totalsRowShown="0">
  <x:tableColumns count="6">
    <x:tableColumn id="1" name="Area"/>
    <x:tableColumn id="2" name="Scope"/>
    <x:tableColumn id="3" name="Execution Type"/>
    <x:tableColumn id="4" name="Entry Criteria"/>
    <x:tableColumn id="5" name="Exit Criteria"/>
    <x:tableColumn id="6" name="Current Classific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UATCoverage" displayName="UATCoverage" ref="A4:C8" headerRowCount="1" totalsRowCount="0" totalsRowShown="0">
  <x:tableColumns count="3">
    <x:tableColumn id="1" name="Metric"/>
    <x:tableColumn id="2" name="Count"/>
    <x:tableColumn id="3" name="Mean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P2 Marketing Analytics">
  <a:themeElements>
    <a:clrScheme name="P2 Marketing Analytics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P2 Marketing Analytics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8db3470236049e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1c4206a87fc40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dea9fc0e2bf40a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889999866485596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2" customHeight="1">
      <x:c r="A1" s="10" t="str">
        <x:v>test_id</x:v>
      </x:c>
      <x:c r="B1" s="10" t="str">
        <x:v>business_requirement</x:v>
      </x:c>
      <x:c r="C1" s="10" t="str">
        <x:v>scenario</x:v>
      </x:c>
      <x:c r="D1" s="10" t="str">
        <x:v>precondition</x:v>
      </x:c>
      <x:c r="E1" s="10" t="str">
        <x:v>steps</x:v>
      </x:c>
      <x:c r="F1" s="10" t="str">
        <x:v>expected_result</x:v>
      </x:c>
      <x:c r="G1" s="10" t="str">
        <x:v>actual_result</x:v>
      </x:c>
      <x:c r="H1" s="10" t="str">
        <x:v>status</x:v>
      </x:c>
      <x:c r="I1" s="10" t="str">
        <x:v>evidence</x:v>
      </x:c>
      <x:c r="J1" s="10" t="str">
        <x:v>notes</x:v>
      </x:c>
    </x:row>
    <x:row r="2">
      <x:c r="A2" s="6" t="str">
        <x:v>UAT-001</x:v>
      </x:c>
      <x:c r="B2" s="6" t="str">
        <x:v>BR-001</x:v>
      </x:c>
      <x:c r="C2" s="6" t="str">
        <x:v>Executive ROAS reconciles</x:v>
      </x:c>
      <x:c r="D2" s="6" t="str">
        <x:v>Green dbt build</x:v>
      </x:c>
      <x:c r="E2" s="6" t="str">
        <x:v>Compare channel mart revenue divided by spend to report card</x:v>
      </x:c>
      <x:c r="F2" s="6" t="str">
        <x:v>Values match governed formula</x:v>
      </x:c>
      <x:c r="G2" s="6" t="str"/>
      <x:c r="H2" s="6" t="str">
        <x:v>NOT RUN</x:v>
      </x:c>
      <x:c r="I2" s="6" t="str"/>
      <x:c r="J2" s="6" t="str">
        <x:v>Automatable</x:v>
      </x:c>
    </x:row>
    <x:row r="3">
      <x:c r="A3" s="6" t="str">
        <x:v>UAT-002</x:v>
      </x:c>
      <x:c r="B3" s="6" t="str">
        <x:v>BR-001</x:v>
      </x:c>
      <x:c r="C3" s="6" t="str">
        <x:v>CAC reconciles</x:v>
      </x:c>
      <x:c r="D3" s="6" t="str">
        <x:v>Green dbt build</x:v>
      </x:c>
      <x:c r="E3" s="6" t="str">
        <x:v>Compare spend divided by closed-won conversions</x:v>
      </x:c>
      <x:c r="F3" s="6" t="str">
        <x:v>CAC matches governed formula and zero denominators are blank</x:v>
      </x:c>
      <x:c r="G3" s="6" t="str"/>
      <x:c r="H3" s="6" t="str">
        <x:v>NOT RUN</x:v>
      </x:c>
      <x:c r="I3" s="6" t="str"/>
      <x:c r="J3" s="6" t="str">
        <x:v>Automatable</x:v>
      </x:c>
    </x:row>
    <x:row r="4">
      <x:c r="A4" s="6" t="str">
        <x:v>UAT-003</x:v>
      </x:c>
      <x:c r="B4" s="6" t="str">
        <x:v>BR-001</x:v>
      </x:c>
      <x:c r="C4" s="6" t="str">
        <x:v>Channel totals reconcile</x:v>
      </x:c>
      <x:c r="D4" s="6" t="str">
        <x:v>Semantic export loaded</x:v>
      </x:c>
      <x:c r="E4" s="6" t="str">
        <x:v>Sum channels and compare to warehouse</x:v>
      </x:c>
      <x:c r="F4" s="6" t="str">
        <x:v>Spend revenue and conversions match</x:v>
      </x:c>
      <x:c r="G4" s="6" t="str"/>
      <x:c r="H4" s="6" t="str">
        <x:v>NOT RUN</x:v>
      </x:c>
      <x:c r="I4" s="6" t="str"/>
      <x:c r="J4" s="6" t="str">
        <x:v>Automatable</x:v>
      </x:c>
    </x:row>
    <x:row r="5">
      <x:c r="A5" s="6" t="str">
        <x:v>UAT-004</x:v>
      </x:c>
      <x:c r="B5" s="6" t="str">
        <x:v>BR-001</x:v>
      </x:c>
      <x:c r="C5" s="6" t="str">
        <x:v>Date filter scope</x:v>
      </x:c>
      <x:c r="D5" s="6" t="str">
        <x:v>Power BI report open</x:v>
      </x:c>
      <x:c r="E5" s="6" t="str">
        <x:v>Select one reporting month</x:v>
      </x:c>
      <x:c r="F5" s="6" t="str">
        <x:v>All dependent visuals show only selected month</x:v>
      </x:c>
      <x:c r="G5" s="6" t="str"/>
      <x:c r="H5" s="6" t="str">
        <x:v>NOT RUN</x:v>
      </x:c>
      <x:c r="I5" s="6" t="str"/>
      <x:c r="J5" s="6" t="str">
        <x:v>GUI</x:v>
      </x:c>
    </x:row>
    <x:row r="6">
      <x:c r="A6" s="6" t="str">
        <x:v>UAT-005</x:v>
      </x:c>
      <x:c r="B6" s="6" t="str">
        <x:v>BR-001</x:v>
      </x:c>
      <x:c r="C6" s="6" t="str">
        <x:v>Channel filter scope</x:v>
      </x:c>
      <x:c r="D6" s="6" t="str">
        <x:v>Power BI report open</x:v>
      </x:c>
      <x:c r="E6" s="6" t="str">
        <x:v>Select one channel</x:v>
      </x:c>
      <x:c r="F6" s="6" t="str">
        <x:v>Campaign funnel target and quality visuals respond as designed</x:v>
      </x:c>
      <x:c r="G6" s="6" t="str"/>
      <x:c r="H6" s="6" t="str">
        <x:v>NOT RUN</x:v>
      </x:c>
      <x:c r="I6" s="6" t="str"/>
      <x:c r="J6" s="6" t="str">
        <x:v>GUI</x:v>
      </x:c>
    </x:row>
    <x:row r="7">
      <x:c r="A7" s="6" t="str">
        <x:v>UAT-006</x:v>
      </x:c>
      <x:c r="B7" s="6" t="str">
        <x:v>BR-002</x:v>
      </x:c>
      <x:c r="C7" s="6" t="str">
        <x:v>SCALE threshold</x:v>
      </x:c>
      <x:c r="D7" s="6" t="str">
        <x:v>Action mart built</x:v>
      </x:c>
      <x:c r="E7" s="6" t="str">
        <x:v>Inspect row above target multiplier</x:v>
      </x:c>
      <x:c r="F7" s="6" t="str">
        <x:v>Action is SCALE with transparent reason</x:v>
      </x:c>
      <x:c r="G7" s="6" t="str"/>
      <x:c r="H7" s="6" t="str">
        <x:v>NOT RUN</x:v>
      </x:c>
      <x:c r="I7" s="6" t="str"/>
      <x:c r="J7" s="6" t="str">
        <x:v>Automatable</x:v>
      </x:c>
    </x:row>
    <x:row r="8">
      <x:c r="A8" s="6" t="str">
        <x:v>UAT-007</x:v>
      </x:c>
      <x:c r="B8" s="6" t="str">
        <x:v>BR-013</x:v>
      </x:c>
      <x:c r="C8" s="6" t="str">
        <x:v>REDUCE threshold</x:v>
      </x:c>
      <x:c r="D8" s="6" t="str">
        <x:v>Action mart built</x:v>
      </x:c>
      <x:c r="E8" s="6" t="str">
        <x:v>Inspect high-spend row below target multiplier</x:v>
      </x:c>
      <x:c r="F8" s="6" t="str">
        <x:v>Action is REDUCE with P1 priority</x:v>
      </x:c>
      <x:c r="G8" s="6" t="str"/>
      <x:c r="H8" s="6" t="str">
        <x:v>NOT RUN</x:v>
      </x:c>
      <x:c r="I8" s="6" t="str"/>
      <x:c r="J8" s="6" t="str">
        <x:v>Automatable</x:v>
      </x:c>
    </x:row>
    <x:row r="9">
      <x:c r="A9" s="6" t="str">
        <x:v>UAT-008</x:v>
      </x:c>
      <x:c r="B9" s="6" t="str">
        <x:v>BR-013</x:v>
      </x:c>
      <x:c r="C9" s="6" t="str">
        <x:v>Funnel repair rule</x:v>
      </x:c>
      <x:c r="D9" s="6" t="str">
        <x:v>Action mart built</x:v>
      </x:c>
      <x:c r="E9" s="6" t="str">
        <x:v>Inspect below-target row with zero conversions</x:v>
      </x:c>
      <x:c r="F9" s="6" t="str">
        <x:v>Action is FIX FUNNEL</x:v>
      </x:c>
      <x:c r="G9" s="6" t="str"/>
      <x:c r="H9" s="6" t="str">
        <x:v>NOT RUN</x:v>
      </x:c>
      <x:c r="I9" s="6" t="str"/>
      <x:c r="J9" s="6" t="str">
        <x:v>Automatable</x:v>
      </x:c>
    </x:row>
    <x:row r="10">
      <x:c r="A10" s="6" t="str">
        <x:v>UAT-009</x:v>
      </x:c>
      <x:c r="B10" s="6" t="str">
        <x:v>BR-013</x:v>
      </x:c>
      <x:c r="C10" s="6" t="str">
        <x:v>Missing target rule</x:v>
      </x:c>
      <x:c r="D10" s="6" t="str">
        <x:v>Action mart built</x:v>
      </x:c>
      <x:c r="E10" s="6" t="str">
        <x:v>Inspect campaign without matched target</x:v>
      </x:c>
      <x:c r="F10" s="6" t="str">
        <x:v>Action is REVIEW TARGET</x:v>
      </x:c>
      <x:c r="G10" s="6" t="str"/>
      <x:c r="H10" s="6" t="str">
        <x:v>NOT RUN</x:v>
      </x:c>
      <x:c r="I10" s="6" t="str"/>
      <x:c r="J10" s="6" t="str">
        <x:v>Automatable</x:v>
      </x:c>
    </x:row>
    <x:row r="11">
      <x:c r="A11" s="6" t="str">
        <x:v>UAT-010</x:v>
      </x:c>
      <x:c r="B11" s="6" t="str">
        <x:v>BR-012</x:v>
      </x:c>
      <x:c r="C11" s="6" t="str">
        <x:v>Quality hold override</x:v>
      </x:c>
      <x:c r="D11" s="6" t="str">
        <x:v>Fixture has missing campaign ID</x:v>
      </x:c>
      <x:c r="E11" s="6" t="str">
        <x:v>Run action rules</x:v>
      </x:c>
      <x:c r="F11" s="6" t="str">
        <x:v>DATA QUALITY HOLD overrides performance action</x:v>
      </x:c>
      <x:c r="G11" s="6" t="str"/>
      <x:c r="H11" s="6" t="str">
        <x:v>NOT RUN</x:v>
      </x:c>
      <x:c r="I11" s="6" t="str"/>
      <x:c r="J11" s="6" t="str">
        <x:v>Automatable</x:v>
      </x:c>
    </x:row>
    <x:row r="12">
      <x:c r="A12" s="6" t="str">
        <x:v>UAT-011</x:v>
      </x:c>
      <x:c r="B12" s="6" t="str">
        <x:v>BR-004</x:v>
      </x:c>
      <x:c r="C12" s="6" t="str">
        <x:v>ROAS absolute variance</x:v>
      </x:c>
      <x:c r="D12" s="6" t="str">
        <x:v>Two complete periods exist</x:v>
      </x:c>
      <x:c r="E12" s="6" t="str">
        <x:v>Subtract prior ROAS from current</x:v>
      </x:c>
      <x:c r="F12" s="6" t="str">
        <x:v>Stored absolute variance matches</x:v>
      </x:c>
      <x:c r="G12" s="6" t="str"/>
      <x:c r="H12" s="6" t="str">
        <x:v>NOT RUN</x:v>
      </x:c>
      <x:c r="I12" s="6" t="str"/>
      <x:c r="J12" s="6" t="str">
        <x:v>Automatable</x:v>
      </x:c>
    </x:row>
    <x:row r="13">
      <x:c r="A13" s="6" t="str">
        <x:v>UAT-012</x:v>
      </x:c>
      <x:c r="B13" s="6" t="str">
        <x:v>BR-004</x:v>
      </x:c>
      <x:c r="C13" s="6" t="str">
        <x:v>ROAS percentage variance</x:v>
      </x:c>
      <x:c r="D13" s="6" t="str">
        <x:v>Nonzero prior ROAS exists</x:v>
      </x:c>
      <x:c r="E13" s="6" t="str">
        <x:v>Divide absolute variance by prior</x:v>
      </x:c>
      <x:c r="F13" s="6" t="str">
        <x:v>Stored percentage variance matches</x:v>
      </x:c>
      <x:c r="G13" s="6" t="str"/>
      <x:c r="H13" s="6" t="str">
        <x:v>NOT RUN</x:v>
      </x:c>
      <x:c r="I13" s="6" t="str"/>
      <x:c r="J13" s="6" t="str">
        <x:v>Automatable</x:v>
      </x:c>
    </x:row>
    <x:row r="14">
      <x:c r="A14" s="6" t="str">
        <x:v>UAT-013</x:v>
      </x:c>
      <x:c r="B14" s="6" t="str">
        <x:v>BR-004</x:v>
      </x:c>
      <x:c r="C14" s="6" t="str">
        <x:v>No prior period</x:v>
      </x:c>
      <x:c r="D14" s="6" t="str">
        <x:v>First period exists</x:v>
      </x:c>
      <x:c r="E14" s="6" t="str">
        <x:v>Inspect driver row</x:v>
      </x:c>
      <x:c r="F14" s="6" t="str">
        <x:v>Severity is INFO and driver is NO_PRIOR_PERIOD</x:v>
      </x:c>
      <x:c r="G14" s="6" t="str"/>
      <x:c r="H14" s="6" t="str">
        <x:v>NOT RUN</x:v>
      </x:c>
      <x:c r="I14" s="6" t="str"/>
      <x:c r="J14" s="6" t="str">
        <x:v>Automatable</x:v>
      </x:c>
    </x:row>
    <x:row r="15">
      <x:c r="A15" s="6" t="str">
        <x:v>UAT-014</x:v>
      </x:c>
      <x:c r="B15" s="6" t="str">
        <x:v>BR-004</x:v>
      </x:c>
      <x:c r="C15" s="6" t="str">
        <x:v>High severity threshold</x:v>
      </x:c>
      <x:c r="D15" s="6" t="str">
        <x:v>Fixture changes ROAS by at least 25 percent</x:v>
      </x:c>
      <x:c r="E15" s="6" t="str">
        <x:v>Build driver output</x:v>
      </x:c>
      <x:c r="F15" s="6" t="str">
        <x:v>Severity is HIGH</x:v>
      </x:c>
      <x:c r="G15" s="6" t="str"/>
      <x:c r="H15" s="6" t="str">
        <x:v>NOT RUN</x:v>
      </x:c>
      <x:c r="I15" s="6" t="str"/>
      <x:c r="J15" s="6" t="str">
        <x:v>Automatable</x:v>
      </x:c>
    </x:row>
    <x:row r="16">
      <x:c r="A16" s="6" t="str">
        <x:v>UAT-015</x:v>
      </x:c>
      <x:c r="B16" s="6" t="str">
        <x:v>BR-004</x:v>
      </x:c>
      <x:c r="C16" s="6" t="str">
        <x:v>CAC absolute variance</x:v>
      </x:c>
      <x:c r="D16" s="6" t="str">
        <x:v>Two complete periods exist</x:v>
      </x:c>
      <x:c r="E16" s="6" t="str">
        <x:v>Subtract prior CAC from current</x:v>
      </x:c>
      <x:c r="F16" s="6" t="str">
        <x:v>Stored absolute variance matches</x:v>
      </x:c>
      <x:c r="G16" s="6" t="str"/>
      <x:c r="H16" s="6" t="str">
        <x:v>NOT RUN</x:v>
      </x:c>
      <x:c r="I16" s="6" t="str"/>
      <x:c r="J16" s="6" t="str">
        <x:v>Automatable</x:v>
      </x:c>
    </x:row>
    <x:row r="17">
      <x:c r="A17" s="6" t="str">
        <x:v>UAT-016</x:v>
      </x:c>
      <x:c r="B17" s="6" t="str">
        <x:v>BR-004</x:v>
      </x:c>
      <x:c r="C17" s="6" t="str">
        <x:v>CAC zero denominator</x:v>
      </x:c>
      <x:c r="D17" s="6" t="str">
        <x:v>No conversions for period</x:v>
      </x:c>
      <x:c r="E17" s="6" t="str">
        <x:v>Calculate CAC</x:v>
      </x:c>
      <x:c r="F17" s="6" t="str">
        <x:v>CAC is null rather than infinity or error</x:v>
      </x:c>
      <x:c r="G17" s="6" t="str"/>
      <x:c r="H17" s="6" t="str">
        <x:v>NOT RUN</x:v>
      </x:c>
      <x:c r="I17" s="6" t="str"/>
      <x:c r="J17" s="6" t="str">
        <x:v>Automatable</x:v>
      </x:c>
    </x:row>
    <x:row r="18">
      <x:c r="A18" s="6" t="str">
        <x:v>UAT-017</x:v>
      </x:c>
      <x:c r="B18" s="6" t="str">
        <x:v>BR-007</x:v>
      </x:c>
      <x:c r="C18" s="6" t="str">
        <x:v>GA4 event contract</x:v>
      </x:c>
      <x:c r="D18" s="6" t="str">
        <x:v>GA4 fixture available</x:v>
      </x:c>
      <x:c r="E18" s="6" t="str">
        <x:v>Validate required fields and accepted event names</x:v>
      </x:c>
      <x:c r="F18" s="6" t="str">
        <x:v>Valid fixture passes</x:v>
      </x:c>
      <x:c r="G18" s="6" t="str"/>
      <x:c r="H18" s="6" t="str">
        <x:v>NOT RUN</x:v>
      </x:c>
      <x:c r="I18" s="6" t="str"/>
      <x:c r="J18" s="6" t="str">
        <x:v>Automatable</x:v>
      </x:c>
    </x:row>
    <x:row r="19">
      <x:c r="A19" s="6" t="str">
        <x:v>UAT-018</x:v>
      </x:c>
      <x:c r="B19" s="6" t="str">
        <x:v>BR-007</x:v>
      </x:c>
      <x:c r="C19" s="6" t="str">
        <x:v>Invalid GA4 event</x:v>
      </x:c>
      <x:c r="D19" s="6" t="str">
        <x:v>Fixture contains unknown event</x:v>
      </x:c>
      <x:c r="E19" s="6" t="str">
        <x:v>Run validator</x:v>
      </x:c>
      <x:c r="F19" s="6" t="str">
        <x:v>Row is rejected with known_ga4_event rule</x:v>
      </x:c>
      <x:c r="G19" s="6" t="str"/>
      <x:c r="H19" s="6" t="str">
        <x:v>NOT RUN</x:v>
      </x:c>
      <x:c r="I19" s="6" t="str"/>
      <x:c r="J19" s="6" t="str">
        <x:v>Automatable</x:v>
      </x:c>
    </x:row>
    <x:row r="20">
      <x:c r="A20" s="6" t="str">
        <x:v>UAT-019</x:v>
      </x:c>
      <x:c r="B20" s="6" t="str">
        <x:v>BR-007</x:v>
      </x:c>
      <x:c r="C20" s="6" t="str">
        <x:v>Revenue event rule</x:v>
      </x:c>
      <x:c r="D20" s="6" t="str">
        <x:v>Non-purchase row has revenue</x:v>
      </x:c>
      <x:c r="E20" s="6" t="str">
        <x:v>Run validator</x:v>
      </x:c>
      <x:c r="F20" s="6" t="str">
        <x:v>Row is rejected with revenue_only_on_purchase</x:v>
      </x:c>
      <x:c r="G20" s="6" t="str"/>
      <x:c r="H20" s="6" t="str">
        <x:v>NOT RUN</x:v>
      </x:c>
      <x:c r="I20" s="6" t="str"/>
      <x:c r="J20" s="6" t="str">
        <x:v>Automatable</x:v>
      </x:c>
    </x:row>
    <x:row r="21">
      <x:c r="A21" s="6" t="str">
        <x:v>UAT-020</x:v>
      </x:c>
      <x:c r="B21" s="6" t="str">
        <x:v>BR-008</x:v>
      </x:c>
      <x:c r="C21" s="6" t="str">
        <x:v>Live hostname exclusion</x:v>
      </x:c>
      <x:c r="D21" s="6" t="str">
        <x:v>Daily BigQuery export available</x:v>
      </x:c>
      <x:c r="E21" s="6" t="str">
        <x:v>Run bounded live selector</x:v>
      </x:c>
      <x:c r="F21" s="6" t="str">
        <x:v>Approved hostname remains and localhost is excluded</x:v>
      </x:c>
      <x:c r="G21" s="6" t="str"/>
      <x:c r="H21" s="6" t="str">
        <x:v>NOT RUN</x:v>
      </x:c>
      <x:c r="I21" s="6" t="str"/>
      <x:c r="J21" s="6" t="str">
        <x:v>Automatable</x:v>
      </x:c>
    </x:row>
    <x:row r="22">
      <x:c r="A22" s="6" t="str">
        <x:v>UAT-021</x:v>
      </x:c>
      <x:c r="B22" s="6" t="str">
        <x:v>BR-009</x:v>
      </x:c>
      <x:c r="C22" s="6" t="str">
        <x:v>Ecommerce item grain</x:v>
      </x:c>
      <x:c r="D22" s="6" t="str">
        <x:v>GA4 items model built</x:v>
      </x:c>
      <x:c r="E22" s="6" t="str">
        <x:v>Compare item rows to unnested source arrays</x:v>
      </x:c>
      <x:c r="F22" s="6" t="str">
        <x:v>Item rows reconcile without inflating events</x:v>
      </x:c>
      <x:c r="G22" s="6" t="str"/>
      <x:c r="H22" s="6" t="str">
        <x:v>NOT RUN</x:v>
      </x:c>
      <x:c r="I22" s="6" t="str"/>
      <x:c r="J22" s="6" t="str">
        <x:v>Automatable</x:v>
      </x:c>
    </x:row>
    <x:row r="23">
      <x:c r="A23" s="6" t="str">
        <x:v>UAT-022</x:v>
      </x:c>
      <x:c r="B23" s="6" t="str">
        <x:v>BR-007</x:v>
      </x:c>
      <x:c r="C23" s="6" t="str">
        <x:v>Funnel filter behavior</x:v>
      </x:c>
      <x:c r="D23" s="6" t="str">
        <x:v>Power BI GA4 page open</x:v>
      </x:c>
      <x:c r="E23" s="6" t="str">
        <x:v>Filter device and source</x:v>
      </x:c>
      <x:c r="F23" s="6" t="str">
        <x:v>Funnel updates without cross-filter ambiguity</x:v>
      </x:c>
      <x:c r="G23" s="6" t="str"/>
      <x:c r="H23" s="6" t="str">
        <x:v>NOT RUN</x:v>
      </x:c>
      <x:c r="I23" s="6" t="str"/>
      <x:c r="J23" s="6" t="str">
        <x:v>GUI</x:v>
      </x:c>
    </x:row>
    <x:row r="24">
      <x:c r="A24" s="6" t="str">
        <x:v>UAT-023</x:v>
      </x:c>
      <x:c r="B24" s="6" t="str">
        <x:v>BR-003</x:v>
      </x:c>
      <x:c r="C24" s="6" t="str">
        <x:v>Spend attainment</x:v>
      </x:c>
      <x:c r="D24" s="6" t="str">
        <x:v>Targets and actuals loaded</x:v>
      </x:c>
      <x:c r="E24" s="6" t="str">
        <x:v>Divide actual spend by target spend</x:v>
      </x:c>
      <x:c r="F24" s="6" t="str">
        <x:v>Attainment matches mart</x:v>
      </x:c>
      <x:c r="G24" s="6" t="str"/>
      <x:c r="H24" s="6" t="str">
        <x:v>NOT RUN</x:v>
      </x:c>
      <x:c r="I24" s="6" t="str"/>
      <x:c r="J24" s="6" t="str">
        <x:v>Automatable</x:v>
      </x:c>
    </x:row>
    <x:row r="25">
      <x:c r="A25" s="6" t="str">
        <x:v>UAT-024</x:v>
      </x:c>
      <x:c r="B25" s="6" t="str">
        <x:v>BR-003</x:v>
      </x:c>
      <x:c r="C25" s="6" t="str">
        <x:v>Revenue attainment</x:v>
      </x:c>
      <x:c r="D25" s="6" t="str">
        <x:v>Targets and actuals loaded</x:v>
      </x:c>
      <x:c r="E25" s="6" t="str">
        <x:v>Divide actual revenue by target revenue</x:v>
      </x:c>
      <x:c r="F25" s="6" t="str">
        <x:v>Attainment matches mart</x:v>
      </x:c>
      <x:c r="G25" s="6" t="str"/>
      <x:c r="H25" s="6" t="str">
        <x:v>NOT RUN</x:v>
      </x:c>
      <x:c r="I25" s="6" t="str"/>
      <x:c r="J25" s="6" t="str">
        <x:v>Automatable</x:v>
      </x:c>
    </x:row>
    <x:row r="26">
      <x:c r="A26" s="6" t="str">
        <x:v>UAT-025</x:v>
      </x:c>
      <x:c r="B26" s="6" t="str">
        <x:v>BR-003</x:v>
      </x:c>
      <x:c r="C26" s="6" t="str">
        <x:v>Missing target visibility</x:v>
      </x:c>
      <x:c r="D26" s="6" t="str">
        <x:v>Actual has no target</x:v>
      </x:c>
      <x:c r="E26" s="6" t="str">
        <x:v>Open report</x:v>
      </x:c>
      <x:c r="F26" s="6" t="str">
        <x:v>Missing target is visible and not treated as zero target</x:v>
      </x:c>
      <x:c r="G26" s="6" t="str"/>
      <x:c r="H26" s="6" t="str">
        <x:v>NOT RUN</x:v>
      </x:c>
      <x:c r="I26" s="6" t="str"/>
      <x:c r="J26" s="6" t="str">
        <x:v>GUI</x:v>
      </x:c>
    </x:row>
    <x:row r="27">
      <x:c r="A27" s="6" t="str">
        <x:v>UAT-026</x:v>
      </x:c>
      <x:c r="B27" s="6" t="str">
        <x:v>BR-010</x:v>
      </x:c>
      <x:c r="C27" s="6" t="str">
        <x:v>Attribution weights reconcile</x:v>
      </x:c>
      <x:c r="D27" s="6" t="str">
        <x:v>Attribution fact built</x:v>
      </x:c>
      <x:c r="E27" s="6" t="str">
        <x:v>Sum weights by conversion and model</x:v>
      </x:c>
      <x:c r="F27" s="6" t="str">
        <x:v>Weights equal one within tolerance</x:v>
      </x:c>
      <x:c r="G27" s="6" t="str"/>
      <x:c r="H27" s="6" t="str">
        <x:v>NOT RUN</x:v>
      </x:c>
      <x:c r="I27" s="6" t="str"/>
      <x:c r="J27" s="6" t="str">
        <x:v>Automatable</x:v>
      </x:c>
    </x:row>
    <x:row r="28">
      <x:c r="A28" s="6" t="str">
        <x:v>UAT-027</x:v>
      </x:c>
      <x:c r="B28" s="6" t="str">
        <x:v>BR-010</x:v>
      </x:c>
      <x:c r="C28" s="6" t="str">
        <x:v>Attributed revenue reconciles</x:v>
      </x:c>
      <x:c r="D28" s="6" t="str">
        <x:v>Attribution fact built</x:v>
      </x:c>
      <x:c r="E28" s="6" t="str">
        <x:v>Sum attributed revenue by model</x:v>
      </x:c>
      <x:c r="F28" s="6" t="str">
        <x:v>Each model reconciles to conversion revenue</x:v>
      </x:c>
      <x:c r="G28" s="6" t="str"/>
      <x:c r="H28" s="6" t="str">
        <x:v>NOT RUN</x:v>
      </x:c>
      <x:c r="I28" s="6" t="str"/>
      <x:c r="J28" s="6" t="str">
        <x:v>Automatable</x:v>
      </x:c>
    </x:row>
    <x:row r="29">
      <x:c r="A29" s="6" t="str">
        <x:v>UAT-028</x:v>
      </x:c>
      <x:c r="B29" s="6" t="str">
        <x:v>BR-010</x:v>
      </x:c>
      <x:c r="C29" s="6" t="str">
        <x:v>Model filter behavior</x:v>
      </x:c>
      <x:c r="D29" s="6" t="str">
        <x:v>Attribution page open</x:v>
      </x:c>
      <x:c r="E29" s="6" t="str">
        <x:v>Select each model</x:v>
      </x:c>
      <x:c r="F29" s="6" t="str">
        <x:v>Visual and totals switch to selected model</x:v>
      </x:c>
      <x:c r="G29" s="6" t="str"/>
      <x:c r="H29" s="6" t="str">
        <x:v>NOT RUN</x:v>
      </x:c>
      <x:c r="I29" s="6" t="str"/>
      <x:c r="J29" s="6" t="str">
        <x:v>GUI</x:v>
      </x:c>
    </x:row>
    <x:row r="30">
      <x:c r="A30" s="6" t="str">
        <x:v>UAT-029</x:v>
      </x:c>
      <x:c r="B30" s="6" t="str">
        <x:v>BR-011</x:v>
      </x:c>
      <x:c r="C30" s="6" t="str">
        <x:v>Stale source warning</x:v>
      </x:c>
      <x:c r="D30" s="6" t="str">
        <x:v>Fixture timestamp exceeds freshness SLA</x:v>
      </x:c>
      <x:c r="E30" s="6" t="str">
        <x:v>Build source health</x:v>
      </x:c>
      <x:c r="F30" s="6" t="str">
        <x:v>Source is marked stale or freshness failure</x:v>
      </x:c>
      <x:c r="G30" s="6" t="str"/>
      <x:c r="H30" s="6" t="str">
        <x:v>NOT RUN</x:v>
      </x:c>
      <x:c r="I30" s="6" t="str"/>
      <x:c r="J30" s="6" t="str">
        <x:v>Automatable</x:v>
      </x:c>
    </x:row>
    <x:row r="31">
      <x:c r="A31" s="6" t="str">
        <x:v>UAT-030</x:v>
      </x:c>
      <x:c r="B31" s="6" t="str">
        <x:v>BR-005</x:v>
      </x:c>
      <x:c r="C31" s="6" t="str">
        <x:v>Anomaly evidence</x:v>
      </x:c>
      <x:c r="D31" s="6" t="str">
        <x:v>Material KPI deviation exists</x:v>
      </x:c>
      <x:c r="E31" s="6" t="str">
        <x:v>Run transparent detector</x:v>
      </x:c>
      <x:c r="F31" s="6" t="str">
        <x:v>Metric baseline deviation severity method and evidence are present</x:v>
      </x:c>
      <x:c r="G31" s="6" t="str"/>
      <x:c r="H31" s="6" t="str">
        <x:v>NOT RUN</x:v>
      </x:c>
      <x:c r="I31" s="6" t="str"/>
      <x:c r="J31" s="6" t="str">
        <x:v>Automatable</x:v>
      </x:c>
    </x:row>
    <x:row r="32">
      <x:c r="A32" s="6" t="str">
        <x:v>UAT-031</x:v>
      </x:c>
      <x:c r="B32" s="6" t="str">
        <x:v>BR-014</x:v>
      </x:c>
      <x:c r="C32" s="6" t="str">
        <x:v>Governed scenario set</x:v>
      </x:c>
      <x:c r="D32" s="6" t="str">
        <x:v>Scenario inputs valid</x:v>
      </x:c>
      <x:c r="E32" s="6" t="str">
        <x:v>Run standard scenarios</x:v>
      </x:c>
      <x:c r="F32" s="6" t="str">
        <x:v>Baseline Conservative Expected Aggressive and User Defined are returned</x:v>
      </x:c>
      <x:c r="G32" s="6" t="str"/>
      <x:c r="H32" s="6" t="str">
        <x:v>NOT RUN</x:v>
      </x:c>
      <x:c r="I32" s="6" t="str"/>
      <x:c r="J32" s="6" t="str">
        <x:v>Automatable</x:v>
      </x:c>
    </x:row>
    <x:row r="33">
      <x:c r="A33" s="6" t="str">
        <x:v>UAT-032</x:v>
      </x:c>
      <x:c r="B33" s="6" t="str">
        <x:v>BR-015</x:v>
      </x:c>
      <x:c r="C33" s="6" t="str">
        <x:v>Scenario equation reconciliation</x:v>
      </x:c>
      <x:c r="D33" s="6" t="str">
        <x:v>Allocations sum to one</x:v>
      </x:c>
      <x:c r="E33" s="6" t="str">
        <x:v>Recalculate projected funnel and financial outputs</x:v>
      </x:c>
      <x:c r="F33" s="6" t="str">
        <x:v>Results match zero-safe deterministic equations</x:v>
      </x:c>
      <x:c r="G33" s="6" t="str"/>
      <x:c r="H33" s="6" t="str">
        <x:v>NOT RUN</x:v>
      </x:c>
      <x:c r="I33" s="6" t="str"/>
      <x:c r="J33" s="6" t="str">
        <x:v>Automatable</x:v>
      </x:c>
    </x:row>
    <x:row r="34">
      <x:c r="A34" s="6" t="str">
        <x:v>UAT-033</x:v>
      </x:c>
      <x:c r="B34" s="6" t="str">
        <x:v>BR-020</x:v>
      </x:c>
      <x:c r="C34" s="6" t="str">
        <x:v>Source-to-landing reconciliation</x:v>
      </x:c>
      <x:c r="D34" s="6" t="str">
        <x:v>Generated and ingestion manifests available</x:v>
      </x:c>
      <x:c r="E34" s="6" t="str">
        <x:v>Compare source row counts to landed counts</x:v>
      </x:c>
      <x:c r="F34" s="6" t="str">
        <x:v>All available checks meet recorded tolerance</x:v>
      </x:c>
      <x:c r="G34" s="6" t="str"/>
      <x:c r="H34" s="6" t="str">
        <x:v>NOT RUN</x:v>
      </x:c>
      <x:c r="I34" s="6" t="str"/>
      <x:c r="J34" s="6" t="str">
        <x:v>Automatable</x:v>
      </x:c>
    </x:row>
    <x:row r="35">
      <x:c r="A35" s="6" t="str">
        <x:v>UAT-034</x:v>
      </x:c>
      <x:c r="B35" s="6" t="str">
        <x:v>BR-022</x:v>
      </x:c>
      <x:c r="C35" s="6" t="str">
        <x:v>Bounded BigQuery configuration</x:v>
      </x:c>
      <x:c r="D35" s="6" t="str">
        <x:v>Live selector configured</x:v>
      </x:c>
      <x:c r="E35" s="6" t="str">
        <x:v>Inspect lookback and maximum-bytes safeguards</x:v>
      </x:c>
      <x:c r="F35" s="6" t="str">
        <x:v>Cost guardrails remain explicit</x:v>
      </x:c>
      <x:c r="G35" s="6" t="str"/>
      <x:c r="H35" s="6" t="str">
        <x:v>NOT RUN</x:v>
      </x:c>
      <x:c r="I35" s="6" t="str"/>
      <x:c r="J35" s="6" t="str">
        <x:v>Automatable</x:v>
      </x:c>
    </x:row>
    <x:row r="36">
      <x:c r="A36" s="6" t="str">
        <x:v>UAT-035</x:v>
      </x:c>
      <x:c r="B36" s="6" t="str">
        <x:v>BR-020</x:v>
      </x:c>
      <x:c r="C36" s="6" t="str">
        <x:v>dbt-to-BI reconciliation</x:v>
      </x:c>
      <x:c r="D36" s="6" t="str">
        <x:v>Mart and BI exports available</x:v>
      </x:c>
      <x:c r="E36" s="6" t="str">
        <x:v>Compare row and financial totals</x:v>
      </x:c>
      <x:c r="F36" s="6" t="str">
        <x:v>All available checks meet recorded tolerance</x:v>
      </x:c>
      <x:c r="G36" s="6" t="str"/>
      <x:c r="H36" s="6" t="str">
        <x:v>NOT RUN</x:v>
      </x:c>
      <x:c r="I36" s="6" t="str"/>
      <x:c r="J36" s="6" t="str">
        <x:v>Automatable</x:v>
      </x:c>
    </x:row>
    <x:row r="37">
      <x:c r="A37" s="6" t="str">
        <x:v>UAT-036</x:v>
      </x:c>
      <x:c r="B37" s="6" t="str">
        <x:v>BR-021</x:v>
      </x:c>
      <x:c r="C37" s="6" t="str">
        <x:v>Deterministic insight packet</x:v>
      </x:c>
      <x:c r="D37" s="6" t="str">
        <x:v>Pipeline evidence available</x:v>
      </x:c>
      <x:c r="E37" s="6" t="str">
        <x:v>Generate decision intelligence</x:v>
      </x:c>
      <x:c r="F37" s="6" t="str">
        <x:v>Packet includes KPIs anomalies drivers actions scenarios warnings and references</x:v>
      </x:c>
      <x:c r="G37" s="6" t="str"/>
      <x:c r="H37" s="6" t="str">
        <x:v>NOT RUN</x:v>
      </x:c>
      <x:c r="I37" s="6" t="str"/>
      <x:c r="J37" s="6" t="str">
        <x:v>Automatable</x:v>
      </x:c>
    </x:row>
    <x:row r="38">
      <x:c r="A38" s="6" t="str">
        <x:v>UAT-037</x:v>
      </x:c>
      <x:c r="B38" s="6" t="str">
        <x:v>BR-013</x:v>
      </x:c>
      <x:c r="C38" s="6" t="str">
        <x:v>Priority sorting</x:v>
      </x:c>
      <x:c r="D38" s="6" t="str">
        <x:v>Action mart loaded</x:v>
      </x:c>
      <x:c r="E38" s="6" t="str">
        <x:v>Sort P0 through P3</x:v>
      </x:c>
      <x:c r="F38" s="6" t="str">
        <x:v>Quality holds and material underperformance appear first</x:v>
      </x:c>
      <x:c r="G38" s="6" t="str"/>
      <x:c r="H38" s="6" t="str">
        <x:v>NOT RUN</x:v>
      </x:c>
      <x:c r="I38" s="6" t="str"/>
      <x:c r="J38" s="6" t="str">
        <x:v>Automatable</x:v>
      </x:c>
    </x:row>
    <x:row r="39">
      <x:c r="A39" s="6" t="str">
        <x:v>UAT-038</x:v>
      </x:c>
      <x:c r="B39" s="6" t="str">
        <x:v>BR-013</x:v>
      </x:c>
      <x:c r="C39" s="6" t="str">
        <x:v>Action reason visibility</x:v>
      </x:c>
      <x:c r="D39" s="6" t="str">
        <x:v>Power BI action page open</x:v>
      </x:c>
      <x:c r="E39" s="6" t="str">
        <x:v>Select campaign</x:v>
      </x:c>
      <x:c r="F39" s="6" t="str">
        <x:v>Action reason supporting metric and monitor metric are visible</x:v>
      </x:c>
      <x:c r="G39" s="6" t="str"/>
      <x:c r="H39" s="6" t="str">
        <x:v>NOT RUN</x:v>
      </x:c>
      <x:c r="I39" s="6" t="str"/>
      <x:c r="J39" s="6" t="str">
        <x:v>GUI</x:v>
      </x:c>
    </x:row>
    <x:row r="40">
      <x:c r="A40" s="6" t="str">
        <x:v>UAT-039</x:v>
      </x:c>
      <x:c r="B40" s="6" t="str">
        <x:v>BR-017</x:v>
      </x:c>
      <x:c r="C40" s="6" t="str">
        <x:v>Power BI refresh</x:v>
      </x:c>
      <x:c r="D40" s="6" t="str">
        <x:v>Report assembled and credentials configured</x:v>
      </x:c>
      <x:c r="E40" s="6" t="str">
        <x:v>Trigger refresh</x:v>
      </x:c>
      <x:c r="F40" s="6" t="str">
        <x:v>Refresh completes and timestamp advances</x:v>
      </x:c>
      <x:c r="G40" s="6" t="str"/>
      <x:c r="H40" s="6" t="str">
        <x:v>NOT RUN</x:v>
      </x:c>
      <x:c r="I40" s="6" t="str"/>
      <x:c r="J40" s="6" t="str">
        <x:v>GUI credentials required</x:v>
      </x:c>
    </x:row>
    <x:row r="41">
      <x:c r="A41" s="6" t="str">
        <x:v>UAT-040</x:v>
      </x:c>
      <x:c r="B41" s="6" t="str">
        <x:v>BR-017</x:v>
      </x:c>
      <x:c r="C41" s="6" t="str">
        <x:v>RLS validation</x:v>
      </x:c>
      <x:c r="D41" s="6" t="str">
        <x:v>Power BI roles configured</x:v>
      </x:c>
      <x:c r="E41" s="6" t="str">
        <x:v>Use Test as role for each role</x:v>
      </x:c>
      <x:c r="F41" s="6" t="str">
        <x:v>Each role sees only intended rows and no restricted raw data</x:v>
      </x:c>
      <x:c r="G41" s="6" t="str"/>
      <x:c r="H41" s="6" t="str">
        <x:v>NOT RUN</x:v>
      </x:c>
      <x:c r="I41" s="6" t="str"/>
      <x:c r="J41" s="6" t="str">
        <x:v>GUI</x:v>
      </x:c>
    </x:row>
  </x:sheetData>
  <x:conditionalFormatting sqref="H2:H41">
    <x:cfRule type="containsText" dxfId="0" priority="1" operator="containsText" text="NOT RUN"/>
  </x:conditionalFormatting>
  <x:dataValidations count="1">
    <x:dataValidation type="list" sqref="H2:H41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8db3470236049e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18" hidden="0" customWidth="1"/>
    <x:col min="4" max="4" width="34" hidden="0" customWidth="1"/>
    <x:col min="5" max="5" width="34" hidden="0" customWidth="1"/>
    <x:col min="6" max="6" width="18" hidden="0" customWidth="1"/>
  </x:cols>
  <x:sheetData>
    <x:row r="1" ht="30" customHeight="1">
      <x:c r="A1" s="16" t="str">
        <x:v>P2 Modeled UAT Test Plan</x:v>
      </x:c>
      <x:c r="B1" s="16"/>
      <x:c r="C1" s="16"/>
      <x:c r="D1" s="16"/>
      <x:c r="E1" s="16"/>
      <x:c r="F1" s="16"/>
    </x:row>
    <x:row r="2" ht="34" customHeight="1">
      <x:c r="A2" s="24" t="str">
        <x:v>These acceptance cases are repository-authored. They do not claim execution by real stakeholders.</x:v>
      </x:c>
      <x:c r="B2" s="24"/>
      <x:c r="C2" s="24"/>
      <x:c r="D2" s="24"/>
      <x:c r="E2" s="24"/>
      <x:c r="F2" s="24"/>
    </x:row>
    <x:row r="4" ht="32" customHeight="1">
      <x:c r="A4" s="34" t="str">
        <x:v>Area</x:v>
      </x:c>
      <x:c r="B4" s="34" t="str">
        <x:v>Scope</x:v>
      </x:c>
      <x:c r="C4" s="34" t="str">
        <x:v>Execution Type</x:v>
      </x:c>
      <x:c r="D4" s="34" t="str">
        <x:v>Entry Criteria</x:v>
      </x:c>
      <x:c r="E4" s="34" t="str">
        <x:v>Exit Criteria</x:v>
      </x:c>
      <x:c r="F4" s="34" t="str">
        <x:v>Current Classification</x:v>
      </x:c>
    </x:row>
    <x:row r="5" ht="45" customHeight="1">
      <x:c r="A5" s="6" t="str">
        <x:v>KPI reconciliation</x:v>
      </x:c>
      <x:c r="B5" s="6" t="str">
        <x:v>Spend, revenue, ROAS, CAC, funnel and targets</x:v>
      </x:c>
      <x:c r="C5" s="6" t="str">
        <x:v>Automated + analyst review</x:v>
      </x:c>
      <x:c r="D5" s="6" t="str">
        <x:v>Green data build</x:v>
      </x:c>
      <x:c r="E5" s="6" t="str">
        <x:v>Tolerance checks pass</x:v>
      </x:c>
      <x:c r="F5" s="6" t="str">
        <x:v>Repository validation</x:v>
      </x:c>
    </x:row>
    <x:row r="6" ht="45" customHeight="1">
      <x:c r="A6" s="6" t="str">
        <x:v>Analytics</x:v>
      </x:c>
      <x:c r="B6" s="6" t="str">
        <x:v>Variance, anomaly, attribution and scenarios</x:v>
      </x:c>
      <x:c r="C6" s="6" t="str">
        <x:v>Automated</x:v>
      </x:c>
      <x:c r="D6" s="6" t="str">
        <x:v>Governed marts available</x:v>
      </x:c>
      <x:c r="E6" s="6" t="str">
        <x:v>Rules and equations pass</x:v>
      </x:c>
      <x:c r="F6" s="6" t="str">
        <x:v>Repository validation</x:v>
      </x:c>
    </x:row>
    <x:row r="7" ht="45" customHeight="1">
      <x:c r="A7" s="6" t="str">
        <x:v>Power BI behavior</x:v>
      </x:c>
      <x:c r="B7" s="6" t="str">
        <x:v>Filters, navigation, drill-through, tooltips</x:v>
      </x:c>
      <x:c r="C7" s="6" t="str">
        <x:v>Power BI Desktop GUI</x:v>
      </x:c>
      <x:c r="D7" s="6" t="str">
        <x:v>Report assembled</x:v>
      </x:c>
      <x:c r="E7" s="6" t="str">
        <x:v>Expected cross-filter/navigation behavior</x:v>
      </x:c>
      <x:c r="F7" s="6" t="str">
        <x:v>NOT EXECUTED</x:v>
      </x:c>
    </x:row>
    <x:row r="8" ht="45" customHeight="1">
      <x:c r="A8" s="6" t="str">
        <x:v>RLS</x:v>
      </x:c>
      <x:c r="B8" s="6" t="str">
        <x:v>Executive, Channel Manager, Regional Manager</x:v>
      </x:c>
      <x:c r="C8" s="6" t="str">
        <x:v>Static + Power BI View-as</x:v>
      </x:c>
      <x:c r="D8" s="6" t="str">
        <x:v>Roles imported</x:v>
      </x:c>
      <x:c r="E8" s="6" t="str">
        <x:v>Role predicates verified at runtime</x:v>
      </x:c>
      <x:c r="F8" s="6" t="str">
        <x:v>Static validation only</x:v>
      </x:c>
    </x:row>
    <x:row r="9" ht="45" customHeight="1">
      <x:c r="A9" s="6" t="str">
        <x:v>Live GA4</x:v>
      </x:c>
      <x:c r="B9" s="6" t="str">
        <x:v>Hostname exclusion, sessions, items and funnel</x:v>
      </x:c>
      <x:c r="C9" s="6" t="str">
        <x:v>Bounded BigQuery/dbt</x:v>
      </x:c>
      <x:c r="D9" s="6" t="str">
        <x:v>Daily export available</x:v>
      </x:c>
      <x:c r="E9" s="6" t="str">
        <x:v>Approved selector/tests pass</x:v>
      </x:c>
      <x:c r="F9" s="6" t="str">
        <x:v>Live evidence documented</x:v>
      </x:c>
    </x:row>
    <x:row r="10" ht="45" customHeight="1">
      <x:c r="A10" s="6" t="str">
        <x:v>Release quality</x:v>
      </x:c>
      <x:c r="B10" s="6" t="str">
        <x:v>Freshness, rejected rows, reconciliation, security</x:v>
      </x:c>
      <x:c r="C10" s="6" t="str">
        <x:v>Automated</x:v>
      </x:c>
      <x:c r="D10" s="6" t="str">
        <x:v>Evidence generated</x:v>
      </x:c>
      <x:c r="E10" s="6" t="str">
        <x:v>No failed release control</x:v>
      </x:c>
      <x:c r="F10" s="6" t="str">
        <x:v>Repository validation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81c4206a87fc40b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18" hidden="0" customWidth="1"/>
  </x:cols>
  <x:sheetData>
    <x:row r="1" ht="30" customHeight="1">
      <x:c r="A1" s="16" t="str">
        <x:v>UAT Coverage Summary</x:v>
      </x:c>
      <x:c r="B1" s="16"/>
      <x:c r="C1" s="16"/>
    </x:row>
    <x:row r="2" ht="34" customHeight="1">
      <x:c r="A2" s="24" t="str">
        <x:v>Formula-driven counts. A NOT RUN case is not represented as stakeholder acceptance.</x:v>
      </x:c>
      <x:c r="B2" s="24"/>
      <x:c r="C2" s="24"/>
    </x:row>
    <x:row r="4" ht="32" customHeight="1">
      <x:c r="A4" s="34" t="str">
        <x:v>Metric</x:v>
      </x:c>
      <x:c r="B4" s="34" t="str">
        <x:v>Count</x:v>
      </x:c>
      <x:c r="C4" s="34" t="str">
        <x:v>Meaning</x:v>
      </x:c>
    </x:row>
    <x:row r="5" ht="45" customHeight="1">
      <x:c r="A5" s="6" t="str">
        <x:v>Total cases</x:v>
      </x:c>
      <x:c r="B5" s="40" t="n">
        <x:f>COUNTA('Test Cases'!A2:A41)</x:f>
        <x:v>40</x:v>
      </x:c>
      <x:c r="C5" s="6" t="str">
        <x:v>Existing strengthened package</x:v>
      </x:c>
    </x:row>
    <x:row r="6" ht="45" customHeight="1">
      <x:c r="A6" s="6" t="str">
        <x:v>Automatable notes</x:v>
      </x:c>
      <x:c r="B6" s="40" t="n">
        <x:f>COUNTIF('Test Cases'!J2:J41,"Automatable")</x:f>
        <x:v>32</x:v>
      </x:c>
      <x:c r="C6" s="6" t="str">
        <x:v>Cases tagged Automatable</x:v>
      </x:c>
    </x:row>
    <x:row r="7" ht="45" customHeight="1">
      <x:c r="A7" s="6" t="str">
        <x:v>GUI notes</x:v>
      </x:c>
      <x:c r="B7" s="40" t="n">
        <x:f>COUNTIF('Test Cases'!J2:J41,"GUI")+COUNTIF('Test Cases'!J2:J41,"GUI credentials required")</x:f>
        <x:v>8</x:v>
      </x:c>
      <x:c r="C7" s="6" t="str">
        <x:v>Cases requiring a BI interface</x:v>
      </x:c>
    </x:row>
    <x:row r="8" ht="45" customHeight="1">
      <x:c r="A8" s="6" t="str">
        <x:v>Not run</x:v>
      </x:c>
      <x:c r="B8" s="40" t="n">
        <x:f>COUNTIF('Test Cases'!H2:H41,"NOT RUN")</x:f>
        <x:v>40</x:v>
      </x:c>
      <x:c r="C8" s="6" t="str">
        <x:v>No user execution claimed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8dea9fc0e2bf40a4"/>
  </x:tableParts>
</x:worksheet>
</file>