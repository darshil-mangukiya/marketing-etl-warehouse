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8a7741958b45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eability" sheetId="1" r:id="R5133b435c1164f06"/>
    <x:sheet xmlns:r="http://schemas.openxmlformats.org/officeDocument/2006/relationships" name="Coverage Summary" sheetId="2" r:id="R32cc50fe327e42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46B9A"/>
      </x:patternFill>
    </x:fill>
    <x:fill>
      <x:patternFill patternType="solid">
        <x:fgColor rgb="FFFFF2CC"/>
      </x:patternFill>
    </x:fill>
    <x:fill>
      <x:patternFill patternType="solid">
        <x:fgColor rgb="FF246B9A"/>
      </x:patternFill>
    </x:fill>
    <x:fill>
      <x:patternFill patternType="solid">
        <x:fgColor rgb="FF246B9A"/>
      </x:patternFill>
    </x:fill>
    <x:fill>
      <x:patternFill patternType="solid">
        <x:fgColor rgb="FF246B9A"/>
      </x:patternFill>
    </x:fill>
  </x:fills>
  <x:borders count="2">
    <x:border/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20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274E13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16cc9ddaa44f6a" /><Relationship Type="http://schemas.openxmlformats.org/officeDocument/2006/relationships/theme" Target="/xl/theme/theme1.xml" Id="Rabbb87d6aa0e4169" /><Relationship Type="http://schemas.openxmlformats.org/officeDocument/2006/relationships/sharedStrings" Target="/xl/sharedStrings.xml" Id="R3f86f34e286f40e6" /><Relationship Type="http://schemas.openxmlformats.org/officeDocument/2006/relationships/worksheet" Target="/xl/worksheets/sheet1.xml" Id="R5133b435c1164f06" /><Relationship Type="http://schemas.openxmlformats.org/officeDocument/2006/relationships/worksheet" Target="/xl/worksheets/sheet2.xml" Id="R32cc50fe327e4267" /></Relationships>
</file>

<file path=xl/tables/table1.xml><?xml version="1.0" encoding="utf-8"?>
<x:table xmlns:x="http://schemas.openxmlformats.org/spreadsheetml/2006/main" id="1" name="RequirementsTraceability" displayName="RequirementsTraceability" ref="A4:Q28" headerRowCount="1" totalsRowCount="0" totalsRowShown="0">
  <x:tableColumns count="17">
    <x:tableColumn id="1" name="Requirement ID"/>
    <x:tableColumn id="2" name="Requirement"/>
    <x:tableColumn id="3" name="Persona"/>
    <x:tableColumn id="4" name="Priority"/>
    <x:tableColumn id="5" name="Source System"/>
    <x:tableColumn id="6" name="Source Field / Input"/>
    <x:tableColumn id="7" name="Business Rule"/>
    <x:tableColumn id="8" name="dbt Model"/>
    <x:tableColumn id="9" name="KPI"/>
    <x:tableColumn id="10" name="DAX Measure"/>
    <x:tableColumn id="11" name="Power BI Page"/>
    <x:tableColumn id="12" name="Visual / Output"/>
    <x:tableColumn id="13" name="Acceptance Criteria"/>
    <x:tableColumn id="14" name="UAT Test ID"/>
    <x:tableColumn id="15" name="Implementation Status"/>
    <x:tableColumn id="16" name="Validation Status"/>
    <x:tableColumn id="17" name="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verageSummary" displayName="CoverageSummary" ref="A4:C8" headerRowCount="1" totalsRowCount="0" totalsRowShown="0">
  <x:tableColumns count="3">
    <x:tableColumn id="1" name="Metric"/>
    <x:tableColumn id="2" name="Value"/>
    <x:tableColumn id="3" name="Interpre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9b6ddfa3fe42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917f8b7861f47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4" hidden="0" customWidth="1"/>
    <x:col min="14" max="14" width="18" hidden="0" customWidth="1"/>
    <x:col min="15" max="15" width="18" hidden="0" customWidth="1"/>
    <x:col min="16" max="16" width="18" hidden="0" customWidth="1"/>
    <x:col min="17" max="17" width="34" hidden="0" customWidth="1"/>
    <x:col min="18" max="18" width="28" hidden="0" customWidth="1"/>
  </x:cols>
  <x:sheetData>
    <x:row r="1" ht="30" customHeight="1">
      <x:c r="A1" s="3" t="str">
        <x:v>P2 Requirements Traceability Matrix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4" customHeight="1">
      <x:c r="A2" s="7" t="str">
        <x:v>Modeled portfolio requirements mapped only to implemented or explicitly Power BI-ready evidence. Validation status does not imply real stakeholder UAT.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32" customHeight="1">
      <x:c r="A4" s="12" t="str">
        <x:v>Requirement ID</x:v>
      </x:c>
      <x:c r="B4" s="12" t="str">
        <x:v>Requirement</x:v>
      </x:c>
      <x:c r="C4" s="12" t="str">
        <x:v>Persona</x:v>
      </x:c>
      <x:c r="D4" s="12" t="str">
        <x:v>Priority</x:v>
      </x:c>
      <x:c r="E4" s="12" t="str">
        <x:v>Source System</x:v>
      </x:c>
      <x:c r="F4" s="12" t="str">
        <x:v>Source Field / Input</x:v>
      </x:c>
      <x:c r="G4" s="12" t="str">
        <x:v>Business Rule</x:v>
      </x:c>
      <x:c r="H4" s="12" t="str">
        <x:v>dbt Model</x:v>
      </x:c>
      <x:c r="I4" s="12" t="str">
        <x:v>KPI</x:v>
      </x:c>
      <x:c r="J4" s="12" t="str">
        <x:v>DAX Measure</x:v>
      </x:c>
      <x:c r="K4" s="12" t="str">
        <x:v>Power BI Page</x:v>
      </x:c>
      <x:c r="L4" s="12" t="str">
        <x:v>Visual / Output</x:v>
      </x:c>
      <x:c r="M4" s="12" t="str">
        <x:v>Acceptance Criteria</x:v>
      </x:c>
      <x:c r="N4" s="12" t="str">
        <x:v>UAT Test ID</x:v>
      </x:c>
      <x:c r="O4" s="12" t="str">
        <x:v>Implementation Status</x:v>
      </x:c>
      <x:c r="P4" s="12" t="str">
        <x:v>Validation Status</x:v>
      </x:c>
      <x:c r="Q4" s="12" t="str">
        <x:v>Evidence</x:v>
      </x:c>
      <x:c r="R4" s="24" t="str">
        <x:v>Data Dictionary / Field IDs</x:v>
      </x:c>
    </x:row>
    <x:row r="5" ht="42" customHeight="1">
      <x:c r="A5" s="15" t="str">
        <x:v>BR-001</x:v>
      </x:c>
      <x:c r="B5" s="15" t="str">
        <x:v>Compare spend, revenue, ROAS, CAC and margin by period/channel</x:v>
      </x:c>
      <x:c r="C5" s="15" t="str">
        <x:v>VP Marketing</x:v>
      </x:c>
      <x:c r="D5" s="15" t="str">
        <x:v>Must</x:v>
      </x:c>
      <x:c r="E5" s="15" t="str">
        <x:v>Ads + CRM + Sales</x:v>
      </x:c>
      <x:c r="F5" s="15" t="str">
        <x:v>spend; booked_revenue; closed_won</x:v>
      </x:c>
      <x:c r="G5" s="15" t="str">
        <x:v>ROAS=revenue/spend; CAC=spend/customers</x:v>
      </x:c>
      <x:c r="H5" s="15" t="str">
        <x:v>mart_channel_performance</x:v>
      </x:c>
      <x:c r="I5" s="15" t="str">
        <x:v>Spend; Revenue; ROAS; CAC</x:v>
      </x:c>
      <x:c r="J5" s="15" t="str">
        <x:v>Total Spend; Booked Revenue; ROAS; CAC</x:v>
      </x:c>
      <x:c r="K5" s="15" t="str">
        <x:v>Executive Marketing Overview</x:v>
      </x:c>
      <x:c r="L5" s="15" t="str">
        <x:v>KPI cards and trend</x:v>
      </x:c>
      <x:c r="M5" s="15" t="str">
        <x:v>Totals reconcile with governed mart</x:v>
      </x:c>
      <x:c r="N5" s="15" t="str">
        <x:v>UAT-001; UAT-002; UAT-003</x:v>
      </x:c>
      <x:c r="O5" s="15" t="str">
        <x:v>Implemented</x:v>
      </x:c>
      <x:c r="P5" s="15" t="str">
        <x:v>Repository validated</x:v>
      </x:c>
      <x:c r="Q5" s="15" t="str">
        <x:v>dbt model; DAX; BI export</x:v>
      </x:c>
      <x:c r="R5" s="15" t="str">
        <x:v>SRC-GADS-005; SRC-META-010; SRC-TIK-015; KPI-001; KPI-011; KPI-013; KPI-014</x:v>
      </x:c>
    </x:row>
    <x:row r="6" ht="42" customHeight="1">
      <x:c r="A6" s="15" t="str">
        <x:v>BR-002</x:v>
      </x:c>
      <x:c r="B6" s="15" t="str">
        <x:v>Identify campaign efficiency and waste conditions</x:v>
      </x:c>
      <x:c r="C6" s="15" t="str">
        <x:v>Performance Marketing Manager</x:v>
      </x:c>
      <x:c r="D6" s="15" t="str">
        <x:v>Must</x:v>
      </x:c>
      <x:c r="E6" s="15" t="str">
        <x:v>Ad platforms</x:v>
      </x:c>
      <x:c r="F6" s="15" t="str">
        <x:v>campaign_id; spend; conversions</x:v>
      </x:c>
      <x:c r="G6" s="15" t="str">
        <x:v>Waste flag uses transparent spend/return thresholds</x:v>
      </x:c>
      <x:c r="H6" s="15" t="str">
        <x:v>mart_campaign_performance</x:v>
      </x:c>
      <x:c r="I6" s="15" t="str">
        <x:v>Attributed ROAS; Waste Campaigns</x:v>
      </x:c>
      <x:c r="J6" s="15" t="str">
        <x:v>Attributed ROAS; Waste Campaigns</x:v>
      </x:c>
      <x:c r="K6" s="15" t="str">
        <x:v>Campaign Intelligence</x:v>
      </x:c>
      <x:c r="L6" s="15" t="str">
        <x:v>Campaign matrix</x:v>
      </x:c>
      <x:c r="M6" s="15" t="str">
        <x:v>Campaign metrics reconcile at campaign grain</x:v>
      </x:c>
      <x:c r="N6" s="15" t="str">
        <x:v>UAT-006</x:v>
      </x:c>
      <x:c r="O6" s="15" t="str">
        <x:v>Implemented</x:v>
      </x:c>
      <x:c r="P6" s="15" t="str">
        <x:v>Repository validated</x:v>
      </x:c>
      <x:c r="Q6" s="15" t="str">
        <x:v>mart and action tests</x:v>
      </x:c>
      <x:c r="R6" s="15" t="str">
        <x:v>WH-032; WH-039; KPI-014</x:v>
      </x:c>
    </x:row>
    <x:row r="7" ht="42" customHeight="1">
      <x:c r="A7" s="15" t="str">
        <x:v>BR-003</x:v>
      </x:c>
      <x:c r="B7" s="15" t="str">
        <x:v>Compare actual performance with targets</x:v>
      </x:c>
      <x:c r="C7" s="15" t="str">
        <x:v>Finance Business Partner</x:v>
      </x:c>
      <x:c r="D7" s="15" t="str">
        <x:v>Must</x:v>
      </x:c>
      <x:c r="E7" s="15" t="str">
        <x:v>Targets + marts</x:v>
      </x:c>
      <x:c r="F7" s="15" t="str">
        <x:v>target/actual spend, revenue, leads</x:v>
      </x:c>
      <x:c r="G7" s="15" t="str">
        <x:v>Missing target remains visible; zero-safe attainment</x:v>
      </x:c>
      <x:c r="H7" s="15" t="str">
        <x:v>mart_target_vs_actual</x:v>
      </x:c>
      <x:c r="I7" s="15" t="str">
        <x:v>Revenue/Spend Attainment</x:v>
      </x:c>
      <x:c r="J7" s="15" t="str">
        <x:v>Revenue Attainment; Spend Attainment</x:v>
      </x:c>
      <x:c r="K7" s="15" t="str">
        <x:v>Target vs Actual</x:v>
      </x:c>
      <x:c r="L7" s="15" t="str">
        <x:v>Variance table</x:v>
      </x:c>
      <x:c r="M7" s="15" t="str">
        <x:v>Target and actual totals reconcile</x:v>
      </x:c>
      <x:c r="N7" s="15" t="str">
        <x:v>UAT-024; UAT-025</x:v>
      </x:c>
      <x:c r="O7" s="15" t="str">
        <x:v>Implemented</x:v>
      </x:c>
      <x:c r="P7" s="15" t="str">
        <x:v>Repository validated</x:v>
      </x:c>
      <x:c r="Q7" s="15" t="str">
        <x:v>target mart and page spec</x:v>
      </x:c>
      <x:c r="R7" s="15" t="str">
        <x:v>SRC-TGT-033; SRC-TGT-034; WH-056; WH-057; WH-060; KPI-018</x:v>
      </x:c>
    </x:row>
    <x:row r="8" ht="42" customHeight="1">
      <x:c r="A8" s="15" t="str">
        <x:v>BR-004</x:v>
      </x:c>
      <x:c r="B8" s="15" t="str">
        <x:v>Explain period-over-period ROAS/CAC movement</x:v>
      </x:c>
      <x:c r="C8" s="15" t="str">
        <x:v>Marketing Analytics Manager</x:v>
      </x:c>
      <x:c r="D8" s="15" t="str">
        <x:v>Must</x:v>
      </x:c>
      <x:c r="E8" s="15" t="str">
        <x:v>Channel mart</x:v>
      </x:c>
      <x:c r="F8" s="15" t="str">
        <x:v>current/prior spend, ROAS, CAC</x:v>
      </x:c>
      <x:c r="G8" s="15" t="str">
        <x:v>Diagnostic contribution only; no causal claim</x:v>
      </x:c>
      <x:c r="H8" s="15" t="str">
        <x:v>mart_marketing_variance_drivers</x:v>
      </x:c>
      <x:c r="I8" s="15" t="str">
        <x:v>ROAS/CAC variance</x:v>
      </x:c>
      <x:c r="J8" s="15" t="str">
        <x:v>High Variance Drivers; ROAS Absolute Variance</x:v>
      </x:c>
      <x:c r="K8" s="15" t="str">
        <x:v>Variance Drivers</x:v>
      </x:c>
      <x:c r="L8" s="15" t="str">
        <x:v>Driver waterfall/table</x:v>
      </x:c>
      <x:c r="M8" s="15" t="str">
        <x:v>Current and prior values reconcile</x:v>
      </x:c>
      <x:c r="N8" s="15" t="str">
        <x:v>UAT-015; UAT-016</x:v>
      </x:c>
      <x:c r="O8" s="15" t="str">
        <x:v>Implemented</x:v>
      </x:c>
      <x:c r="P8" s="15" t="str">
        <x:v>Repository validated</x:v>
      </x:c>
      <x:c r="Q8" s="15" t="str">
        <x:v>variance mart/tests</x:v>
      </x:c>
      <x:c r="R8" s="15" t="str">
        <x:v>WH-044; WH-045; KPI-016</x:v>
      </x:c>
    </x:row>
    <x:row r="9" ht="42" customHeight="1">
      <x:c r="A9" s="15" t="str">
        <x:v>BR-005</x:v>
      </x:c>
      <x:c r="B9" s="15" t="str">
        <x:v>Detect material KPI deviations transparently</x:v>
      </x:c>
      <x:c r="C9" s="15" t="str">
        <x:v>Data Analyst</x:v>
      </x:c>
      <x:c r="D9" s="15" t="str">
        <x:v>Must</x:v>
      </x:c>
      <x:c r="E9" s="15" t="str">
        <x:v>Channel mart</x:v>
      </x:c>
      <x:c r="F9" s="15" t="str">
        <x:v>major KPI time series</x:v>
      </x:c>
      <x:c r="G9" s="15" t="str">
        <x:v>Percent change + rolling median/MAD thresholds</x:v>
      </x:c>
      <x:c r="H9" s="15" t="str">
        <x:v>mart_marketing_anomalies</x:v>
      </x:c>
      <x:c r="I9" s="15" t="str">
        <x:v>Anomaly severity</x:v>
      </x:c>
      <x:c r="J9" s="15" t="str">
        <x:v>Supporting metric</x:v>
      </x:c>
      <x:c r="K9" s="15" t="str">
        <x:v>Data Quality / Governance</x:v>
      </x:c>
      <x:c r="L9" s="15" t="str">
        <x:v>Anomaly evidence table</x:v>
      </x:c>
      <x:c r="M9" s="15" t="str">
        <x:v>Method, baseline, deviation and evidence populated</x:v>
      </x:c>
      <x:c r="N9" s="15" t="str">
        <x:v>UAT-030</x:v>
      </x:c>
      <x:c r="O9" s="15" t="str">
        <x:v>Implemented</x:v>
      </x:c>
      <x:c r="P9" s="15" t="str">
        <x:v>Unit tested</x:v>
      </x:c>
      <x:c r="Q9" s="15" t="str">
        <x:v>anomaly module/tests</x:v>
      </x:c>
      <x:c r="R9" s="15" t="str">
        <x:v>WH-039; WH-043; WH-044; WH-045; KPI-021</x:v>
      </x:c>
    </x:row>
    <x:row r="10" ht="42" customHeight="1">
      <x:c r="A10" s="15" t="str">
        <x:v>BR-006</x:v>
      </x:c>
      <x:c r="B10" s="15" t="str">
        <x:v>Analyze lead-stage leakage and sales conversion</x:v>
      </x:c>
      <x:c r="C10" s="15" t="str">
        <x:v>Sales Operations Manager</x:v>
      </x:c>
      <x:c r="D10" s="15" t="str">
        <x:v>Must</x:v>
      </x:c>
      <x:c r="E10" s="15" t="str">
        <x:v>CRM + Sales</x:v>
      </x:c>
      <x:c r="F10" s="15" t="str">
        <x:v>lead stages; conversions</x:v>
      </x:c>
      <x:c r="G10" s="15" t="str">
        <x:v>Adjacent-stage rates use zero-safe division</x:v>
      </x:c>
      <x:c r="H10" s="15" t="str">
        <x:v>mart_funnel_performance</x:v>
      </x:c>
      <x:c r="I10" s="15" t="str">
        <x:v>Lead/MQL/SQL/close rates</x:v>
      </x:c>
      <x:c r="J10" s="15" t="str">
        <x:v>Funnel Leads; Funnel MQLs; Funnel SQLs</x:v>
      </x:c>
      <x:c r="K10" s="15" t="str">
        <x:v>Funnel Analysis</x:v>
      </x:c>
      <x:c r="L10" s="15" t="str">
        <x:v>Funnel chart</x:v>
      </x:c>
      <x:c r="M10" s="15" t="str">
        <x:v>Counts and stage rates reconcile</x:v>
      </x:c>
      <x:c r="N10" s="15" t="str">
        <x:v>Not explicitly covered</x:v>
      </x:c>
      <x:c r="O10" s="15" t="str">
        <x:v>Implemented</x:v>
      </x:c>
      <x:c r="P10" s="15" t="str">
        <x:v>Repository validated</x:v>
      </x:c>
      <x:c r="Q10" s="15" t="str">
        <x:v>funnel mart/tests</x:v>
      </x:c>
      <x:c r="R10" s="15" t="str">
        <x:v>SRC-CRM-024; WH-047; WH-051; KPI-019</x:v>
      </x:c>
    </x:row>
    <x:row r="11" ht="42" customHeight="1">
      <x:c r="A11" s="15" t="str">
        <x:v>BR-007</x:v>
      </x:c>
      <x:c r="B11" s="15" t="str">
        <x:v>Analyze generated GA4-style ecommerce funnel locally</x:v>
      </x:c>
      <x:c r="C11" s="15" t="str">
        <x:v>Data Analyst</x:v>
      </x:c>
      <x:c r="D11" s="15" t="str">
        <x:v>Should</x:v>
      </x:c>
      <x:c r="E11" s="15" t="str">
        <x:v>Generated GA4</x:v>
      </x:c>
      <x:c r="F11" s="15" t="str">
        <x:v>events; sessions; items</x:v>
      </x:c>
      <x:c r="G11" s="15" t="str">
        <x:v>Generated path never presented as live traffic</x:v>
      </x:c>
      <x:c r="H11" s="15" t="str">
        <x:v>mart_ga4_funnel</x:v>
      </x:c>
      <x:c r="I11" s="15" t="str">
        <x:v>Sessions; Purchases</x:v>
      </x:c>
      <x:c r="J11" s="15" t="str">
        <x:v>GA4 Sessions; GA4 Purchases</x:v>
      </x:c>
      <x:c r="K11" s="15" t="str">
        <x:v>GA4 Funnel</x:v>
      </x:c>
      <x:c r="L11" s="15" t="str">
        <x:v>Stage funnel</x:v>
      </x:c>
      <x:c r="M11" s="15" t="str">
        <x:v>Event/session totals reconcile</x:v>
      </x:c>
      <x:c r="N11" s="15" t="str">
        <x:v>UAT-017; UAT-018; UAT-019; UAT-022</x:v>
      </x:c>
      <x:c r="O11" s="15" t="str">
        <x:v>Implemented</x:v>
      </x:c>
      <x:c r="P11" s="15" t="str">
        <x:v>Locally verified</x:v>
      </x:c>
      <x:c r="Q11" s="15" t="str">
        <x:v>generated GA4 marts</x:v>
      </x:c>
      <x:c r="R11" s="15" t="str">
        <x:v>SRC-GA4-018; KPI-006</x:v>
      </x:c>
    </x:row>
    <x:row r="12" ht="42" customHeight="1">
      <x:c r="A12" s="15" t="str">
        <x:v>BR-008</x:v>
      </x:c>
      <x:c r="B12" s="15" t="str">
        <x:v>Analyze live portfolio-site GA4 Daily export</x:v>
      </x:c>
      <x:c r="C12" s="15" t="str">
        <x:v>Marketing Analytics Manager</x:v>
      </x:c>
      <x:c r="D12" s="15" t="str">
        <x:v>Must</x:v>
      </x:c>
      <x:c r="E12" s="15" t="str">
        <x:v>GA4 BigQuery</x:v>
      </x:c>
      <x:c r="F12" s="15" t="str">
        <x:v>events_*; hostname</x:v>
      </x:c>
      <x:c r="G12" s="15" t="str">
        <x:v>Approved hostname included; localhost excluded</x:v>
      </x:c>
      <x:c r="H12" s="15" t="str">
        <x:v>mart_ga4_live_funnel</x:v>
      </x:c>
      <x:c r="I12" s="15" t="str">
        <x:v>Live sessions and funnel stages</x:v>
      </x:c>
      <x:c r="J12" s="15" t="str">
        <x:v>GA4 measures (mapped)</x:v>
      </x:c>
      <x:c r="K12" s="15" t="str">
        <x:v>GA4 Funnel</x:v>
      </x:c>
      <x:c r="L12" s="15" t="str">
        <x:v>Live funnel evidence</x:v>
      </x:c>
      <x:c r="M12" s="15" t="str">
        <x:v>Bounded selector passes 4 models + tests</x:v>
      </x:c>
      <x:c r="N12" s="15" t="str">
        <x:v>UAT-020</x:v>
      </x:c>
      <x:c r="O12" s="15" t="str">
        <x:v>Implemented</x:v>
      </x:c>
      <x:c r="P12" s="15" t="str">
        <x:v>Live verified</x:v>
      </x:c>
      <x:c r="Q12" s="15" t="str">
        <x:v>live GCP validation docs</x:v>
      </x:c>
      <x:c r="R12" s="15" t="str">
        <x:v>SRC-GA4-016; SRC-GA4-018; WH-016; WH-027; WH-061; KPI-006</x:v>
      </x:c>
    </x:row>
    <x:row r="13" ht="42" customHeight="1">
      <x:c r="A13" s="15" t="str">
        <x:v>BR-009</x:v>
      </x:c>
      <x:c r="B13" s="15" t="str">
        <x:v>Parse nested GA4 ecommerce items without event inflation</x:v>
      </x:c>
      <x:c r="C13" s="15" t="str">
        <x:v>Data Analyst</x:v>
      </x:c>
      <x:c r="D13" s="15" t="str">
        <x:v>Must</x:v>
      </x:c>
      <x:c r="E13" s="15" t="str">
        <x:v>GA4 BigQuery</x:v>
      </x:c>
      <x:c r="F13" s="15" t="str">
        <x:v>items repeated record</x:v>
      </x:c>
      <x:c r="G13" s="15" t="str">
        <x:v>Separate item grain from event grain</x:v>
      </x:c>
      <x:c r="H13" s="15" t="str">
        <x:v>int_ga4_live_ecommerce_items</x:v>
      </x:c>
      <x:c r="I13" s="15" t="str">
        <x:v>Item rows</x:v>
      </x:c>
      <x:c r="J13" s="15" t="str">
        <x:v>Supporting metric</x:v>
      </x:c>
      <x:c r="K13" s="15" t="str">
        <x:v>GA4 Funnel</x:v>
      </x:c>
      <x:c r="L13" s="15" t="str">
        <x:v>Item detail</x:v>
      </x:c>
      <x:c r="M13" s="15" t="str">
        <x:v>Item and event grains tested separately</x:v>
      </x:c>
      <x:c r="N13" s="15" t="str">
        <x:v>UAT-021</x:v>
      </x:c>
      <x:c r="O13" s="15" t="str">
        <x:v>Implemented</x:v>
      </x:c>
      <x:c r="P13" s="15" t="str">
        <x:v>Live verified</x:v>
      </x:c>
      <x:c r="Q13" s="15" t="str">
        <x:v>dbt BigQuery tests</x:v>
      </x:c>
      <x:c r="R13" s="15" t="str">
        <x:v>SRC-GA4-021; WH-022; WH-023; WH-024; WH-025; WH-026</x:v>
      </x:c>
    </x:row>
    <x:row r="14" ht="42" customHeight="1">
      <x:c r="A14" s="15" t="str">
        <x:v>BR-010</x:v>
      </x:c>
      <x:c r="B14" s="15" t="str">
        <x:v>Compare attribution models and reconcile revenue</x:v>
      </x:c>
      <x:c r="C14" s="15" t="str">
        <x:v>Marketing Analytics Manager</x:v>
      </x:c>
      <x:c r="D14" s="15" t="str">
        <x:v>Must</x:v>
      </x:c>
      <x:c r="E14" s="15" t="str">
        <x:v>Touchpoints + Sales</x:v>
      </x:c>
      <x:c r="F14" s="15" t="str">
        <x:v>touch order; revenue</x:v>
      </x:c>
      <x:c r="G14" s="15" t="str">
        <x:v>Weights sum to one per conversion/model</x:v>
      </x:c>
      <x:c r="H14" s="15" t="str">
        <x:v>mart_attribution_model_comparison</x:v>
      </x:c>
      <x:c r="I14" s="15" t="str">
        <x:v>Attributed Revenue</x:v>
      </x:c>
      <x:c r="J14" s="15" t="str">
        <x:v>First/Last/Linear/Time Decay Revenue</x:v>
      </x:c>
      <x:c r="K14" s="15" t="str">
        <x:v>Attribution &amp; ROI</x:v>
      </x:c>
      <x:c r="L14" s="15" t="str">
        <x:v>Model comparison</x:v>
      </x:c>
      <x:c r="M14" s="15" t="str">
        <x:v>Weights and revenue reconcile within tolerance</x:v>
      </x:c>
      <x:c r="N14" s="15" t="str">
        <x:v>UAT-026; UAT-027</x:v>
      </x:c>
      <x:c r="O14" s="15" t="str">
        <x:v>Implemented</x:v>
      </x:c>
      <x:c r="P14" s="15" t="str">
        <x:v>Repository validated</x:v>
      </x:c>
      <x:c r="Q14" s="15" t="str">
        <x:v>attribution tests</x:v>
      </x:c>
      <x:c r="R14" s="15" t="str">
        <x:v>WH-052; WH-053; WH-054; WH-055; KPI-020</x:v>
      </x:c>
    </x:row>
    <x:row r="15" ht="42" customHeight="1">
      <x:c r="A15" s="15" t="str">
        <x:v>BR-011</x:v>
      </x:c>
      <x:c r="B15" s="15" t="str">
        <x:v>Surface freshness, rejection, mapping and source failures</x:v>
      </x:c>
      <x:c r="C15" s="15" t="str">
        <x:v>BI Developer</x:v>
      </x:c>
      <x:c r="D15" s="15" t="str">
        <x:v>Must</x:v>
      </x:c>
      <x:c r="E15" s="15" t="str">
        <x:v>All sources</x:v>
      </x:c>
      <x:c r="F15" s="15" t="str">
        <x:v>timestamps; rejected rows; mappings</x:v>
      </x:c>
      <x:c r="G15" s="15" t="str">
        <x:v>Failure evidence precedes reporting release</x:v>
      </x:c>
      <x:c r="H15" s="15" t="str">
        <x:v>mart_data_quality_monitoring</x:v>
      </x:c>
      <x:c r="I15" s="15" t="str">
        <x:v>Data quality status</x:v>
      </x:c>
      <x:c r="J15" s="15" t="str">
        <x:v>Governance Risk Count</x:v>
      </x:c>
      <x:c r="K15" s="15" t="str">
        <x:v>Governance &amp; Action Center</x:v>
      </x:c>
      <x:c r="L15" s="15" t="str">
        <x:v>Quality scorecard</x:v>
      </x:c>
      <x:c r="M15" s="15" t="str">
        <x:v>Warnings identify source and rule</x:v>
      </x:c>
      <x:c r="N15" s="15" t="str">
        <x:v>UAT-029; UAT-030</x:v>
      </x:c>
      <x:c r="O15" s="15" t="str">
        <x:v>Implemented</x:v>
      </x:c>
      <x:c r="P15" s="15" t="str">
        <x:v>Repository validated</x:v>
      </x:c>
      <x:c r="Q15" s="15" t="str">
        <x:v>quality reports</x:v>
      </x:c>
      <x:c r="R15" s="15" t="str">
        <x:v>KPI-021</x:v>
      </x:c>
    </x:row>
    <x:row r="16" ht="42" customHeight="1">
      <x:c r="A16" s="15" t="str">
        <x:v>BR-012</x:v>
      </x:c>
      <x:c r="B16" s="15" t="str">
        <x:v>Block recommendations on critical quality failures</x:v>
      </x:c>
      <x:c r="C16" s="15" t="str">
        <x:v>VP Marketing</x:v>
      </x:c>
      <x:c r="D16" s="15" t="str">
        <x:v>Must</x:v>
      </x:c>
      <x:c r="E16" s="15" t="str">
        <x:v>Quality + actions</x:v>
      </x:c>
      <x:c r="F16" s="15" t="str">
        <x:v>quality status</x:v>
      </x:c>
      <x:c r="G16" s="15" t="str">
        <x:v>Critical failures force DATA_QUALITY_HOLD</x:v>
      </x:c>
      <x:c r="H16" s="15" t="str">
        <x:v>mart_campaign_action_center</x:v>
      </x:c>
      <x:c r="I16" s="15" t="str">
        <x:v>Data Quality Holds</x:v>
      </x:c>
      <x:c r="J16" s="15" t="str">
        <x:v>Data Quality Holds</x:v>
      </x:c>
      <x:c r="K16" s="15" t="str">
        <x:v>Campaign Action Center</x:v>
      </x:c>
      <x:c r="L16" s="15" t="str">
        <x:v>Hold queue</x:v>
      </x:c>
      <x:c r="M16" s="15" t="str">
        <x:v>No performance action on failed evidence</x:v>
      </x:c>
      <x:c r="N16" s="15" t="str">
        <x:v>UAT-010</x:v>
      </x:c>
      <x:c r="O16" s="15" t="str">
        <x:v>Implemented</x:v>
      </x:c>
      <x:c r="P16" s="15" t="str">
        <x:v>Repository validated</x:v>
      </x:c>
      <x:c r="Q16" s="15" t="str">
        <x:v>action rules/tests</x:v>
      </x:c>
      <x:c r="R16" s="15" t="str">
        <x:v>KPI-021; KPI-022</x:v>
      </x:c>
    </x:row>
    <x:row r="17" ht="42" customHeight="1">
      <x:c r="A17" s="15" t="str">
        <x:v>BR-013</x:v>
      </x:c>
      <x:c r="B17" s="15" t="str">
        <x:v>Prioritize campaign recommendations with evidence</x:v>
      </x:c>
      <x:c r="C17" s="15" t="str">
        <x:v>Performance Marketing Manager</x:v>
      </x:c>
      <x:c r="D17" s="15" t="str">
        <x:v>Must</x:v>
      </x:c>
      <x:c r="E17" s="15" t="str">
        <x:v>Performance + Targets + Quality</x:v>
      </x:c>
      <x:c r="F17" s="15" t="str">
        <x:v>ROAS; CAC; targets; quality</x:v>
      </x:c>
      <x:c r="G17" s="15" t="str">
        <x:v>Transparent SCALE/MONITOR/INVESTIGATE/etc.</x:v>
      </x:c>
      <x:c r="H17" s="15" t="str">
        <x:v>mart_campaign_action_center</x:v>
      </x:c>
      <x:c r="I17" s="15" t="str">
        <x:v>Campaign Actions</x:v>
      </x:c>
      <x:c r="J17" s="15" t="str">
        <x:v>Campaign Actions; Campaigns to Scale</x:v>
      </x:c>
      <x:c r="K17" s="15" t="str">
        <x:v>Campaign Action Center</x:v>
      </x:c>
      <x:c r="L17" s="15" t="str">
        <x:v>Prioritized table</x:v>
      </x:c>
      <x:c r="M17" s="15" t="str">
        <x:v>Action, reason, priority and metric populated</x:v>
      </x:c>
      <x:c r="N17" s="15" t="str">
        <x:v>UAT-037; UAT-038</x:v>
      </x:c>
      <x:c r="O17" s="15" t="str">
        <x:v>Implemented</x:v>
      </x:c>
      <x:c r="P17" s="15" t="str">
        <x:v>Repository validated</x:v>
      </x:c>
      <x:c r="Q17" s="15" t="str">
        <x:v>action mart</x:v>
      </x:c>
      <x:c r="R17" s="15" t="str">
        <x:v>WH-032; WH-039; KPI-014</x:v>
      </x:c>
    </x:row>
    <x:row r="18" ht="42" customHeight="1">
      <x:c r="A18" s="15" t="str">
        <x:v>BR-014</x:v>
      </x:c>
      <x:c r="B18" s="15" t="str">
        <x:v>Compare five governed budget scenarios</x:v>
      </x:c>
      <x:c r="C18" s="15" t="str">
        <x:v>Finance Business Partner</x:v>
      </x:c>
      <x:c r="D18" s="15" t="str">
        <x:v>Should</x:v>
      </x:c>
      <x:c r="E18" s="15" t="str">
        <x:v>Channel mart + assumptions</x:v>
      </x:c>
      <x:c r="F18" s="15" t="str">
        <x:v>budget; allocation; CPC; CVR; AOV</x:v>
      </x:c>
      <x:c r="G18" s="15" t="str">
        <x:v>Every output marked SIMULATED</x:v>
      </x:c>
      <x:c r="H18" s="15" t="str">
        <x:v>mart_budget_scenarios</x:v>
      </x:c>
      <x:c r="I18" s="15" t="str">
        <x:v>Scenario ROAS/CAC</x:v>
      </x:c>
      <x:c r="J18" s="15" t="str">
        <x:v>Scenario ROAS; Scenario CAC</x:v>
      </x:c>
      <x:c r="K18" s="15" t="str">
        <x:v>Scenario Planning</x:v>
      </x:c>
      <x:c r="L18" s="15" t="str">
        <x:v>Scenario comparison</x:v>
      </x:c>
      <x:c r="M18" s="15" t="str">
        <x:v>All preset/user-defined outputs are labeled</x:v>
      </x:c>
      <x:c r="N18" s="15" t="str">
        <x:v>UAT-031</x:v>
      </x:c>
      <x:c r="O18" s="15" t="str">
        <x:v>Implemented</x:v>
      </x:c>
      <x:c r="P18" s="15" t="str">
        <x:v>Unit tested</x:v>
      </x:c>
      <x:c r="Q18" s="15" t="str">
        <x:v>scenario engine/tests</x:v>
      </x:c>
      <x:c r="R18" s="15" t="str">
        <x:v>WH-067; WH-068; WH-071; WH-072; KPI-015; KPI-017</x:v>
      </x:c>
    </x:row>
    <x:row r="19" ht="42" customHeight="1">
      <x:c r="A19" s="15" t="str">
        <x:v>BR-015</x:v>
      </x:c>
      <x:c r="B19" s="15" t="str">
        <x:v>Project funnel and financial scenario outputs</x:v>
      </x:c>
      <x:c r="C19" s="15" t="str">
        <x:v>Data Analyst</x:v>
      </x:c>
      <x:c r="D19" s="15" t="str">
        <x:v>Should</x:v>
      </x:c>
      <x:c r="E19" s="15" t="str">
        <x:v>Scenario inputs</x:v>
      </x:c>
      <x:c r="F19" s="15" t="str">
        <x:v>budget and funnel assumptions</x:v>
      </x:c>
      <x:c r="G19" s="15" t="str">
        <x:v>Zero-safe equations and allocations sum to one</x:v>
      </x:c>
      <x:c r="H19" s="15" t="str">
        <x:v>mart_budget_scenarios</x:v>
      </x:c>
      <x:c r="I19" s="15" t="str">
        <x:v>Projected revenue/customers</x:v>
      </x:c>
      <x:c r="J19" s="15" t="str">
        <x:v>Scenario Projected Revenue; Customers</x:v>
      </x:c>
      <x:c r="K19" s="15" t="str">
        <x:v>Scenario Planning</x:v>
      </x:c>
      <x:c r="L19" s="15" t="str">
        <x:v>Assumption/result matrix</x:v>
      </x:c>
      <x:c r="M19" s="15" t="str">
        <x:v>Expected equations reconcile</x:v>
      </x:c>
      <x:c r="N19" s="15" t="str">
        <x:v>UAT-032</x:v>
      </x:c>
      <x:c r="O19" s="15" t="str">
        <x:v>Implemented</x:v>
      </x:c>
      <x:c r="P19" s="15" t="str">
        <x:v>Unit tested</x:v>
      </x:c>
      <x:c r="Q19" s="15" t="str">
        <x:v>scenario tests/CSV</x:v>
      </x:c>
      <x:c r="R19" s="15" t="str">
        <x:v>WH-069; WH-070; WH-071; WH-072; KPI-013; KPI-014</x:v>
      </x:c>
    </x:row>
    <x:row r="20" ht="42" customHeight="1">
      <x:c r="A20" s="15" t="str">
        <x:v>BR-016</x:v>
      </x:c>
      <x:c r="B20" s="15" t="str">
        <x:v>Provide executive-ready exception reporting</x:v>
      </x:c>
      <x:c r="C20" s="15" t="str">
        <x:v>VP Marketing</x:v>
      </x:c>
      <x:c r="D20" s="15" t="str">
        <x:v>Must</x:v>
      </x:c>
      <x:c r="E20" s="15" t="str">
        <x:v>Governed marts</x:v>
      </x:c>
      <x:c r="F20" s="15" t="str">
        <x:v>KPI and exception outputs</x:v>
      </x:c>
      <x:c r="G20" s="15" t="str">
        <x:v>Only validated metrics; warnings visible</x:v>
      </x:c>
      <x:c r="H20" s="15" t="str">
        <x:v>mart_executive_scorecard</x:v>
      </x:c>
      <x:c r="I20" s="15" t="str">
        <x:v>Executive KPIs</x:v>
      </x:c>
      <x:c r="J20" s="15" t="str">
        <x:v>Executive KPI measures</x:v>
      </x:c>
      <x:c r="K20" s="15" t="str">
        <x:v>Executive Marketing Overview</x:v>
      </x:c>
      <x:c r="L20" s="15" t="str">
        <x:v>Cards/trends/exceptions</x:v>
      </x:c>
      <x:c r="M20" s="15" t="str">
        <x:v>Brief includes evidence and limitations</x:v>
      </x:c>
      <x:c r="N20" s="15" t="str">
        <x:v>UAT-001</x:v>
      </x:c>
      <x:c r="O20" s="15" t="str">
        <x:v>Implemented</x:v>
      </x:c>
      <x:c r="P20" s="15" t="str">
        <x:v>Locally verified</x:v>
      </x:c>
      <x:c r="Q20" s="15" t="str">
        <x:v>report assets</x:v>
      </x:c>
      <x:c r="R20" s="15" t="str">
        <x:v>KPI-001; KPI-011; KPI-013; KPI-014</x:v>
      </x:c>
    </x:row>
    <x:row r="21" ht="42" customHeight="1">
      <x:c r="A21" s="15" t="str">
        <x:v>BR-017</x:v>
      </x:c>
      <x:c r="B21" s="15" t="str">
        <x:v>Support consistent governed filters</x:v>
      </x:c>
      <x:c r="C21" s="15" t="str">
        <x:v>BI Developer</x:v>
      </x:c>
      <x:c r="D21" s="15" t="str">
        <x:v>Must</x:v>
      </x:c>
      <x:c r="E21" s="15" t="str">
        <x:v>Dimensions</x:v>
      </x:c>
      <x:c r="F21" s="15" t="str">
        <x:v>date/channel/campaign/region/device</x:v>
      </x:c>
      <x:c r="G21" s="15" t="str">
        <x:v>Only modeled relationships propagate filters</x:v>
      </x:c>
      <x:c r="H21" s="15" t="str">
        <x:v>semantic model</x:v>
      </x:c>
      <x:c r="I21" s="15" t="str">
        <x:v>Filter context</x:v>
      </x:c>
      <x:c r="J21" s="15" t="str">
        <x:v>Explicit measures</x:v>
      </x:c>
      <x:c r="K21" s="15" t="str">
        <x:v>All pages</x:v>
      </x:c>
      <x:c r="L21" s="15" t="str">
        <x:v>Slicers</x:v>
      </x:c>
      <x:c r="M21" s="15" t="str">
        <x:v>Filter contracts documented</x:v>
      </x:c>
      <x:c r="N21" s="15" t="str">
        <x:v>UAT-004; UAT-005</x:v>
      </x:c>
      <x:c r="O21" s="15" t="str">
        <x:v>Implemented</x:v>
      </x:c>
      <x:c r="P21" s="15" t="str">
        <x:v>Static validated</x:v>
      </x:c>
      <x:c r="Q21" s="15" t="str">
        <x:v>relationships/page specs</x:v>
      </x:c>
      <x:c r="R21" s="15" t="str">
        <x:v>WH-038</x:v>
      </x:c>
    </x:row>
    <x:row r="22" ht="42" customHeight="1">
      <x:c r="A22" s="15" t="str">
        <x:v>BR-018</x:v>
      </x:c>
      <x:c r="B22" s="15" t="str">
        <x:v>Support summary-to-campaign drill-through</x:v>
      </x:c>
      <x:c r="C22" s="15" t="str">
        <x:v>BI Developer</x:v>
      </x:c>
      <x:c r="D22" s="15" t="str">
        <x:v>Should</x:v>
      </x:c>
      <x:c r="E22" s="15" t="str">
        <x:v>Campaign dimension</x:v>
      </x:c>
      <x:c r="F22" s="15" t="str">
        <x:v>campaign_id</x:v>
      </x:c>
      <x:c r="G22" s="15" t="str">
        <x:v>Campaign ID is governed drill key</x:v>
      </x:c>
      <x:c r="H22" s="15" t="str">
        <x:v>dim_campaign</x:v>
      </x:c>
      <x:c r="I22" s="15" t="str">
        <x:v>Campaign KPIs</x:v>
      </x:c>
      <x:c r="J22" s="15" t="str">
        <x:v>Campaign measures</x:v>
      </x:c>
      <x:c r="K22" s="15" t="str">
        <x:v>Campaign Intelligence</x:v>
      </x:c>
      <x:c r="L22" s="15" t="str">
        <x:v>Drill-through detail</x:v>
      </x:c>
      <x:c r="M22" s="15" t="str">
        <x:v>Page specification defines key/back control</x:v>
      </x:c>
      <x:c r="N22" s="15" t="str">
        <x:v>Not explicitly covered</x:v>
      </x:c>
      <x:c r="O22" s="15" t="str">
        <x:v>Power BI-ready</x:v>
      </x:c>
      <x:c r="P22" s="15" t="str">
        <x:v>Not Desktop executed</x:v>
      </x:c>
      <x:c r="Q22" s="15" t="str">
        <x:v>page spec/usability review</x:v>
      </x:c>
      <x:c r="R22" s="15" t="str">
        <x:v>SRC-CMAP-035; WH-034</x:v>
      </x:c>
    </x:row>
    <x:row r="23" ht="42" customHeight="1">
      <x:c r="A23" s="15" t="str">
        <x:v>BR-019</x:v>
      </x:c>
      <x:c r="B23" s="15" t="str">
        <x:v>Govern KPI formula, grain, ownership and exclusions</x:v>
      </x:c>
      <x:c r="C23" s="15" t="str">
        <x:v>Marketing Analytics Manager</x:v>
      </x:c>
      <x:c r="D23" s="15" t="str">
        <x:v>Must</x:v>
      </x:c>
      <x:c r="E23" s="15" t="str">
        <x:v>KPI catalog</x:v>
      </x:c>
      <x:c r="F23" s="15" t="str">
        <x:v>KPI metadata</x:v>
      </x:c>
      <x:c r="G23" s="15" t="str">
        <x:v>Explicit source and quality dependencies</x:v>
      </x:c>
      <x:c r="H23" s="15" t="str">
        <x:v>mart_semantic_kpi_governance</x:v>
      </x:c>
      <x:c r="I23" s="15" t="str">
        <x:v>Certified KPIs</x:v>
      </x:c>
      <x:c r="J23" s="15" t="str">
        <x:v>Certified KPIs</x:v>
      </x:c>
      <x:c r="K23" s="15" t="str">
        <x:v>Governance &amp; Action Center</x:v>
      </x:c>
      <x:c r="L23" s="15" t="str">
        <x:v>KPI dictionary</x:v>
      </x:c>
      <x:c r="M23" s="15" t="str">
        <x:v>Catalog maps models to DAX</x:v>
      </x:c>
      <x:c r="N23" s="15" t="str">
        <x:v>UAT-001</x:v>
      </x:c>
      <x:c r="O23" s="15" t="str">
        <x:v>Implemented</x:v>
      </x:c>
      <x:c r="P23" s="15" t="str">
        <x:v>Repository validated</x:v>
      </x:c>
      <x:c r="Q23" s="15" t="str">
        <x:v>semantic/kpi_catalog.yml</x:v>
      </x:c>
      <x:c r="R23" s="15" t="str">
        <x:v>KPI-001–KPI-022</x:v>
      </x:c>
    </x:row>
    <x:row r="24" ht="42" customHeight="1">
      <x:c r="A24" s="15" t="str">
        <x:v>BR-020</x:v>
      </x:c>
      <x:c r="B24" s="15" t="str">
        <x:v>Reconcile source through BI outputs</x:v>
      </x:c>
      <x:c r="C24" s="15" t="str">
        <x:v>Data Analyst</x:v>
      </x:c>
      <x:c r="D24" s="15" t="str">
        <x:v>Must</x:v>
      </x:c>
      <x:c r="E24" s="15" t="str">
        <x:v>Manifests + exports</x:v>
      </x:c>
      <x:c r="F24" s="15" t="str">
        <x:v>row counts; spend; revenue; conversions</x:v>
      </x:c>
      <x:c r="G24" s="15" t="str">
        <x:v>Tolerance recorded per check</x:v>
      </x:c>
      <x:c r="H24" s="15" t="str">
        <x:v>multiple marts</x:v>
      </x:c>
      <x:c r="I24" s="15" t="str">
        <x:v>Reconciliation status</x:v>
      </x:c>
      <x:c r="J24" s="15" t="str">
        <x:v>N/A</x:v>
      </x:c>
      <x:c r="K24" s="15" t="str">
        <x:v>Data Quality / Governance</x:v>
      </x:c>
      <x:c r="L24" s="15" t="str">
        <x:v>JSON evidence</x:v>
      </x:c>
      <x:c r="M24" s="15" t="str">
        <x:v>No failed automated checks</x:v>
      </x:c>
      <x:c r="N24" s="15" t="str">
        <x:v>UAT-033; UAT-035</x:v>
      </x:c>
      <x:c r="O24" s="15" t="str">
        <x:v>Implemented</x:v>
      </x:c>
      <x:c r="P24" s="15" t="str">
        <x:v>Automated</x:v>
      </x:c>
      <x:c r="Q24" s="15" t="str">
        <x:v>reconciliation JSON/tests</x:v>
      </x:c>
      <x:c r="R24" s="15" t="str">
        <x:v>SRC-GADS-001; SRC-GA4-016; SRC-RMAP-042; WH-001; WH-072; KPI-001; KPI-022</x:v>
      </x:c>
    </x:row>
    <x:row r="25" ht="42" customHeight="1">
      <x:c r="A25" s="15" t="str">
        <x:v>BR-021</x:v>
      </x:c>
      <x:c r="B25" s="15" t="str">
        <x:v>Automate deterministic evidence generation</x:v>
      </x:c>
      <x:c r="C25" s="15" t="str">
        <x:v>BI Developer</x:v>
      </x:c>
      <x:c r="D25" s="15" t="str">
        <x:v>Must</x:v>
      </x:c>
      <x:c r="E25" s="15" t="str">
        <x:v>Airflow tasks</x:v>
      </x:c>
      <x:c r="F25" s="15" t="str">
        <x:v>quality/dbt/BI artifacts</x:v>
      </x:c>
      <x:c r="G25" s="15" t="str">
        <x:v>Core pipeline execution remains deterministic</x:v>
      </x:c>
      <x:c r="H25" s="15" t="str">
        <x:v>Airflow DAG</x:v>
      </x:c>
      <x:c r="I25" s="15" t="str">
        <x:v>Pipeline status</x:v>
      </x:c>
      <x:c r="J25" s="15" t="str">
        <x:v>N/A</x:v>
      </x:c>
      <x:c r="K25" s="15" t="str">
        <x:v>Governance &amp; Action Center</x:v>
      </x:c>
      <x:c r="L25" s="15" t="str">
        <x:v>Insight packet</x:v>
      </x:c>
      <x:c r="M25" s="15" t="str">
        <x:v>DAG orders reconciliation before reporting</x:v>
      </x:c>
      <x:c r="N25" s="15" t="str">
        <x:v>UAT-036</x:v>
      </x:c>
      <x:c r="O25" s="15" t="str">
        <x:v>Implemented</x:v>
      </x:c>
      <x:c r="P25" s="15" t="str">
        <x:v>Structure tested</x:v>
      </x:c>
      <x:c r="Q25" s="15" t="str">
        <x:v>Airflow DAG</x:v>
      </x:c>
      <x:c r="R25" s="15" t="str">
        <x:v>KPI-021; KPI-022</x:v>
      </x:c>
    </x:row>
    <x:row r="26" ht="42" customHeight="1">
      <x:c r="A26" s="15" t="str">
        <x:v>BR-022</x:v>
      </x:c>
      <x:c r="B26" s="15" t="str">
        <x:v>Preserve bounded BigQuery cost controls</x:v>
      </x:c>
      <x:c r="C26" s="15" t="str">
        <x:v>Finance Business Partner</x:v>
      </x:c>
      <x:c r="D26" s="15" t="str">
        <x:v>Must</x:v>
      </x:c>
      <x:c r="E26" s="15" t="str">
        <x:v>BigQuery/dbt</x:v>
      </x:c>
      <x:c r="F26" s="15" t="str">
        <x:v>lookback; bytes billed</x:v>
      </x:c>
      <x:c r="G26" s="15" t="str">
        <x:v>Approved selector and maximum bytes</x:v>
      </x:c>
      <x:c r="H26" s="15" t="str">
        <x:v>live GA4 models</x:v>
      </x:c>
      <x:c r="I26" s="15" t="str">
        <x:v>Bytes processed</x:v>
      </x:c>
      <x:c r="J26" s="15" t="str">
        <x:v>N/A</x:v>
      </x:c>
      <x:c r="K26" s="15" t="str">
        <x:v>GA4 Funnel</x:v>
      </x:c>
      <x:c r="L26" s="15" t="str">
        <x:v>Validation evidence</x:v>
      </x:c>
      <x:c r="M26" s="15" t="str">
        <x:v>Bounded execution remains documented</x:v>
      </x:c>
      <x:c r="N26" s="15" t="str">
        <x:v>UAT-034</x:v>
      </x:c>
      <x:c r="O26" s="15" t="str">
        <x:v>Implemented</x:v>
      </x:c>
      <x:c r="P26" s="15" t="str">
        <x:v>Live verified</x:v>
      </x:c>
      <x:c r="Q26" s="15" t="str">
        <x:v>GCP validation docs</x:v>
      </x:c>
      <x:c r="R26" s="15" t="str">
        <x:v>SRC-GA4-016; SRC-GA4-018; KPI-021</x:v>
      </x:c>
    </x:row>
    <x:row r="27" ht="42" customHeight="1">
      <x:c r="A27" s="15" t="str">
        <x:v>BR-023</x:v>
      </x:c>
      <x:c r="B27" s="15" t="str">
        <x:v>Provide modeled acceptance tests</x:v>
      </x:c>
      <x:c r="C27" s="15" t="str">
        <x:v>BI Developer</x:v>
      </x:c>
      <x:c r="D27" s="15" t="str">
        <x:v>Must</x:v>
      </x:c>
      <x:c r="E27" s="15" t="str">
        <x:v>Repository assets</x:v>
      </x:c>
      <x:c r="F27" s="15" t="str">
        <x:v>acceptance criteria</x:v>
      </x:c>
      <x:c r="G27" s="15" t="str">
        <x:v>GUI and automated states remain distinct</x:v>
      </x:c>
      <x:c r="H27" s="15" t="str">
        <x:v>N/A</x:v>
      </x:c>
      <x:c r="I27" s="15" t="str">
        <x:v>Test status</x:v>
      </x:c>
      <x:c r="J27" s="15" t="str">
        <x:v>N/A</x:v>
      </x:c>
      <x:c r="K27" s="15" t="str">
        <x:v>All pages</x:v>
      </x:c>
      <x:c r="L27" s="15" t="str">
        <x:v>UAT workbook</x:v>
      </x:c>
      <x:c r="M27" s="15" t="str">
        <x:v>No stakeholder execution implied</x:v>
      </x:c>
      <x:c r="N27" s="15" t="str">
        <x:v>UAT-001–UAT-040</x:v>
      </x:c>
      <x:c r="O27" s="15" t="str">
        <x:v>Implemented</x:v>
      </x:c>
      <x:c r="P27" s="15" t="str">
        <x:v>Repository validated</x:v>
      </x:c>
      <x:c r="Q27" s="15" t="str">
        <x:v>UAT CSV/workbook</x:v>
      </x:c>
      <x:c r="R27" s="15" t="str">
        <x:v>KPI-001–KPI-022</x:v>
      </x:c>
    </x:row>
    <x:row r="28" ht="42" customHeight="1">
      <x:c r="A28" s="15" t="str">
        <x:v>BR-024</x:v>
      </x:c>
      <x:c r="B28" s="15" t="str">
        <x:v>Maintain evidence-backed project documentation</x:v>
      </x:c>
      <x:c r="C28" s="15" t="str">
        <x:v>Data Analyst</x:v>
      </x:c>
      <x:c r="D28" s="15" t="str">
        <x:v>Could</x:v>
      </x:c>
      <x:c r="E28" s="15" t="str">
        <x:v>Repository evidence</x:v>
      </x:c>
      <x:c r="F28" s="15" t="str">
        <x:v>test and asset counts</x:v>
      </x:c>
      <x:c r="G28" s="15" t="str">
        <x:v>Claims trace to tracked outputs</x:v>
      </x:c>
      <x:c r="H28" s="15" t="str">
        <x:v>N/A</x:v>
      </x:c>
      <x:c r="I28" s="15" t="str">
        <x:v>N/A</x:v>
      </x:c>
      <x:c r="J28" s="15" t="str">
        <x:v>N/A</x:v>
      </x:c>
      <x:c r="K28" s="15" t="str">
        <x:v>Documentation</x:v>
      </x:c>
      <x:c r="L28" s="15" t="str">
        <x:v>Role evidence matrix</x:v>
      </x:c>
      <x:c r="M28" s="15" t="str">
        <x:v>Claims match implementation status</x:v>
      </x:c>
      <x:c r="N28" s="15" t="str">
        <x:v>Not explicitly covered</x:v>
      </x:c>
      <x:c r="O28" s="15" t="str">
        <x:v>Implemented</x:v>
      </x:c>
      <x:c r="P28" s="15" t="str">
        <x:v>Repository validated</x:v>
      </x:c>
      <x:c r="Q28" s="15" t="str">
        <x:v>role-specific docs</x:v>
      </x:c>
      <x:c r="R28" s="15" t="str">
        <x:v>SRC-GADS-001; SRC-GA4-016; SRC-RMAP-042; WH-001; WH-072; KPI-001; KPI-022</x:v>
      </x:c>
    </x:row>
  </x:sheetData>
  <x:mergeCells>
    <x:mergeCell ref="A1:Q1"/>
    <x:mergeCell ref="A2:Q2"/>
  </x:mergeCells>
  <x:conditionalFormatting sqref="O5:P28">
    <x:cfRule type="containsText" dxfId="0" priority="1" operator="containsText" text="Implemented"/>
  </x:conditionalFormatting>
  <x:dataValidations count="1">
    <x:dataValidation type="list" sqref="D5:D28">
      <x:formula1>"Must,Should,Could,Won't"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9b6ddfa3fe42d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8" hidden="0" customWidth="1"/>
  </x:cols>
  <x:sheetData>
    <x:row r="1" ht="30" customHeight="1">
      <x:c r="A1" s="3" t="str">
        <x:v>Traceability Coverage Summary</x:v>
      </x:c>
      <x:c r="B1" s="3"/>
      <x:c r="C1" s="3"/>
    </x:row>
    <x:row r="2" ht="34" customHeight="1">
      <x:c r="A2" s="7" t="str">
        <x:v>Formula-driven counts over the Traceability sheet.</x:v>
      </x:c>
      <x:c r="B2" s="7"/>
      <x:c r="C2" s="7"/>
    </x:row>
    <x:row r="4" ht="32" customHeight="1">
      <x:c r="A4" s="12" t="str">
        <x:v>Metric</x:v>
      </x:c>
      <x:c r="B4" s="12" t="str">
        <x:v>Value</x:v>
      </x:c>
      <x:c r="C4" s="12" t="str">
        <x:v>Interpretation</x:v>
      </x:c>
    </x:row>
    <x:row r="5" ht="45" customHeight="1">
      <x:c r="A5" s="15" t="str">
        <x:v>Total requirements</x:v>
      </x:c>
      <x:c r="B5" s="18" t="n">
        <x:f>COUNTA(Traceability!A5:A28)</x:f>
        <x:v>24</x:v>
      </x:c>
      <x:c r="C5" s="15" t="str">
        <x:v>Expected: 24 meaningful requirements</x:v>
      </x:c>
    </x:row>
    <x:row r="6" ht="45" customHeight="1">
      <x:c r="A6" s="15" t="str">
        <x:v>Must priority</x:v>
      </x:c>
      <x:c r="B6" s="18" t="n">
        <x:f>COUNTIF(Traceability!D5:D28,"Must")</x:f>
        <x:v>19</x:v>
      </x:c>
      <x:c r="C6" s="15" t="str">
        <x:v>Core delivery scope</x:v>
      </x:c>
    </x:row>
    <x:row r="7" ht="45" customHeight="1">
      <x:c r="A7" s="15" t="str">
        <x:v>Implemented status</x:v>
      </x:c>
      <x:c r="B7" s="18" t="n">
        <x:f>COUNTIF(Traceability!O5:O28,"Implemented")</x:f>
        <x:v>23</x:v>
      </x:c>
      <x:c r="C7" s="15" t="str">
        <x:v>Implemented or locally evidenced</x:v>
      </x:c>
    </x:row>
    <x:row r="8" ht="45" customHeight="1">
      <x:c r="A8" s="15" t="str">
        <x:v>Power BI-ready</x:v>
      </x:c>
      <x:c r="B8" s="18" t="n">
        <x:f>COUNTIF(Traceability!O5:O28,"Power BI-ready")</x:f>
        <x:v>1</x:v>
      </x:c>
      <x:c r="C8" s="15" t="str">
        <x:v>Requires Desktop assembly/runtime validation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a917f8b7861f4706"/>
  </x:tableParts>
</x:worksheet>
</file>